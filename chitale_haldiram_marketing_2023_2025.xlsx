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Shweta Shewale\Downloads\"/>
    </mc:Choice>
  </mc:AlternateContent>
  <xr:revisionPtr revIDLastSave="0" documentId="13_ncr:1_{6B43BC7F-6D5F-42C6-BAA8-D7EEE52B37C7}" xr6:coauthVersionLast="47" xr6:coauthVersionMax="47" xr10:uidLastSave="{00000000-0000-0000-0000-000000000000}"/>
  <bookViews>
    <workbookView xWindow="-108" yWindow="-108" windowWidth="23256" windowHeight="12456" xr2:uid="{00000000-000D-0000-FFFF-FFFF00000000}"/>
  </bookViews>
  <sheets>
    <sheet name="Chitale Bandhu Mithaiwale" sheetId="1" r:id="rId1"/>
    <sheet name="DIGITAL ADDS" sheetId="14" r:id="rId2"/>
    <sheet name="INFLUENCER Pivot" sheetId="20" r:id="rId3"/>
    <sheet name="EVENT CAMPING " sheetId="21" r:id="rId4"/>
    <sheet name="PRINT PIVOT" sheetId="22" r:id="rId5"/>
    <sheet name="RADIO Pivot" sheetId="24" r:id="rId6"/>
    <sheet name="SOCIAL MEDIA" sheetId="25" r:id="rId7"/>
    <sheet name="TV" sheetId="26" r:id="rId8"/>
    <sheet name="Haldiram " sheetId="2" r:id="rId9"/>
    <sheet name="H DIGITAL ADDS" sheetId="35" r:id="rId10"/>
    <sheet name="H EVENT" sheetId="36" r:id="rId11"/>
    <sheet name="H INFLUENCER" sheetId="37" r:id="rId12"/>
    <sheet name="H PRINT" sheetId="38" r:id="rId13"/>
    <sheet name="H RADIO" sheetId="39" r:id="rId14"/>
    <sheet name="H SOCIAL MEDIA" sheetId="40" r:id="rId15"/>
    <sheet name="H TV" sheetId="41" r:id="rId16"/>
    <sheet name="Haldiram Dashboard" sheetId="34" r:id="rId17"/>
    <sheet name="Chitale Dashboard" sheetId="15" r:id="rId18"/>
    <sheet name="Marketing strategy" sheetId="42" r:id="rId19"/>
    <sheet name="H Strategy" sheetId="43" r:id="rId20"/>
  </sheets>
  <definedNames>
    <definedName name="_xlnm._FilterDatabase" localSheetId="8" hidden="1">'Haldiram '!$A$1:$J$35</definedName>
    <definedName name="Slicer_Budget_USD">#N/A</definedName>
    <definedName name="Slicer_Budget_USD1">#N/A</definedName>
    <definedName name="Slicer_Budget_USD10">#N/A</definedName>
    <definedName name="Slicer_Budget_USD11">#N/A</definedName>
    <definedName name="Slicer_Budget_USD12">#N/A</definedName>
    <definedName name="Slicer_Budget_USD2">#N/A</definedName>
    <definedName name="Slicer_Budget_USD3">#N/A</definedName>
    <definedName name="Slicer_Budget_USD4">#N/A</definedName>
    <definedName name="Slicer_Budget_USD5">#N/A</definedName>
    <definedName name="Slicer_Budget_USD6">#N/A</definedName>
    <definedName name="Slicer_Budget_USD7">#N/A</definedName>
    <definedName name="Slicer_Budget_USD8">#N/A</definedName>
    <definedName name="Slicer_Budget_USD9">#N/A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2" i="2"/>
</calcChain>
</file>

<file path=xl/sharedStrings.xml><?xml version="1.0" encoding="utf-8"?>
<sst xmlns="http://schemas.openxmlformats.org/spreadsheetml/2006/main" count="972" uniqueCount="182">
  <si>
    <t>Date</t>
  </si>
  <si>
    <t>Company</t>
  </si>
  <si>
    <t>Campaign_Name</t>
  </si>
  <si>
    <t>Channel</t>
  </si>
  <si>
    <t>Budget_USD</t>
  </si>
  <si>
    <t>Engagement_%</t>
  </si>
  <si>
    <t>Conversion_Rate_%</t>
  </si>
  <si>
    <t>Region</t>
  </si>
  <si>
    <t>Outcome</t>
  </si>
  <si>
    <t>Notes</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</si>
  <si>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</si>
  <si>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</si>
  <si>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</si>
  <si>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</si>
  <si>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</si>
  <si>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</si>
  <si>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</si>
  <si>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</si>
  <si>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</si>
  <si>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</si>
  <si>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</si>
  <si>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</si>
  <si>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</si>
  <si>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</si>
  <si>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</si>
  <si>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</si>
  <si>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</si>
  <si>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</si>
  <si>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</si>
  <si>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</si>
  <si>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</si>
  <si>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</si>
  <si>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</si>
  <si>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</si>
  <si>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</si>
  <si>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</si>
  <si>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</si>
  <si>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</si>
  <si>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</si>
  <si>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</si>
  <si>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</si>
  <si>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</si>
  <si>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</si>
  <si>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</si>
  <si>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Chitale Bandhu Mithaiwale</t>
  </si>
  <si>
    <t>Haldiram's</t>
  </si>
  <si>
    <t>Radio Jan 2023 Campaign</t>
  </si>
  <si>
    <t>Digital Ads Feb 2023 Campaign</t>
  </si>
  <si>
    <t>Social Media Mar 2023 Campaign</t>
  </si>
  <si>
    <t>Print Apr 2023 Campaign</t>
  </si>
  <si>
    <t>TV May 2023 Campaign</t>
  </si>
  <si>
    <t>Radio Jun 2023 Campaign</t>
  </si>
  <si>
    <t>TV Jul 2023 Campaign</t>
  </si>
  <si>
    <t>Print Aug 2023 Campaign</t>
  </si>
  <si>
    <t>Digital Ads Sep 2023 Campaign</t>
  </si>
  <si>
    <t>Radio Oct 2023 Campaign</t>
  </si>
  <si>
    <t>Influencer Nov 2023 Campaign</t>
  </si>
  <si>
    <t>Digital Ads Dec 2023 Campaign</t>
  </si>
  <si>
    <t>Radio Jan 2024 Campaign</t>
  </si>
  <si>
    <t>Event Feb 2024 Campaign</t>
  </si>
  <si>
    <t>Print Mar 2024 Campaign</t>
  </si>
  <si>
    <t>TV Apr 2024 Campaign</t>
  </si>
  <si>
    <t>Social Media May 2024 Campaign</t>
  </si>
  <si>
    <t>Print Jun 2024 Campaign</t>
  </si>
  <si>
    <t>Radio Jul 2024 Campaign</t>
  </si>
  <si>
    <t>Social Media Aug 2024 Campaign</t>
  </si>
  <si>
    <t>Digital Ads Sep 2024 Campaign</t>
  </si>
  <si>
    <t>Digital Ads Oct 2024 Campaign</t>
  </si>
  <si>
    <t>Print Nov 2024 Campaign</t>
  </si>
  <si>
    <t>Radio Dec 2024 Campaign</t>
  </si>
  <si>
    <t>Influencer Jan 2025 Campaign</t>
  </si>
  <si>
    <t>Print Feb 2025 Campaign</t>
  </si>
  <si>
    <t>Digital Ads Mar 2025 Campaign</t>
  </si>
  <si>
    <t>Social Media Apr 2025 Campaign</t>
  </si>
  <si>
    <t>Social Media May 2025 Campaign</t>
  </si>
  <si>
    <t>Radio Jun 2025 Campaign</t>
  </si>
  <si>
    <t>Influencer Jul 2025 Campaign</t>
  </si>
  <si>
    <t>TV Aug 2025 Campaign</t>
  </si>
  <si>
    <t>Print Sep 2025 Campaign</t>
  </si>
  <si>
    <t>Digital Ads Oct 2025 Campaign</t>
  </si>
  <si>
    <t>Print Feb 2023 Campaign</t>
  </si>
  <si>
    <t>TV Mar 2023 Campaign</t>
  </si>
  <si>
    <t>Social Media Apr 2023 Campaign</t>
  </si>
  <si>
    <t>Radio May 2023 Campaign</t>
  </si>
  <si>
    <t>TV Jun 2023 Campaign</t>
  </si>
  <si>
    <t>Digital Ads Jul 2023 Campaign</t>
  </si>
  <si>
    <t>Social Media Sep 2023 Campaign</t>
  </si>
  <si>
    <t>Print Oct 2023 Campaign</t>
  </si>
  <si>
    <t>Print Nov 2023 Campaign</t>
  </si>
  <si>
    <t>Social Media Dec 2023 Campaign</t>
  </si>
  <si>
    <t>Social Media Jan 2024 Campaign</t>
  </si>
  <si>
    <t>Print Feb 2024 Campaign</t>
  </si>
  <si>
    <t>Social Media Mar 2024 Campaign</t>
  </si>
  <si>
    <t>Social Media Apr 2024 Campaign</t>
  </si>
  <si>
    <t>Print May 2024 Campaign</t>
  </si>
  <si>
    <t>Influencer Jul 2024 Campaign</t>
  </si>
  <si>
    <t>TV Aug 2024 Campaign</t>
  </si>
  <si>
    <t>Event Sep 2024 Campaign</t>
  </si>
  <si>
    <t>TV Oct 2024 Campaign</t>
  </si>
  <si>
    <t>Radio Nov 2024 Campaign</t>
  </si>
  <si>
    <t>TV Dec 2024 Campaign</t>
  </si>
  <si>
    <t>Radio Jan 2025 Campaign</t>
  </si>
  <si>
    <t>Radio Feb 2025 Campaign</t>
  </si>
  <si>
    <t>Influencer Mar 2025 Campaign</t>
  </si>
  <si>
    <t>Radio Apr 2025 Campaign</t>
  </si>
  <si>
    <t>Influencer May 2025 Campaign</t>
  </si>
  <si>
    <t>Influencer Jun 2025 Campaign</t>
  </si>
  <si>
    <t>Print Jul 2025 Campaign</t>
  </si>
  <si>
    <t>Radio Aug 2025 Campaign</t>
  </si>
  <si>
    <t>Digital Ads Sep 2025 Campaign</t>
  </si>
  <si>
    <t>Radio Oct 2025 Campaign</t>
  </si>
  <si>
    <t>Radio</t>
  </si>
  <si>
    <t>Digital Ads</t>
  </si>
  <si>
    <t>Social Media</t>
  </si>
  <si>
    <t>Print</t>
  </si>
  <si>
    <t>TV</t>
  </si>
  <si>
    <t>Influencer</t>
  </si>
  <si>
    <t>Event</t>
  </si>
  <si>
    <t>UK</t>
  </si>
  <si>
    <t>Delhi NCR</t>
  </si>
  <si>
    <t>UAE</t>
  </si>
  <si>
    <t>USA</t>
  </si>
  <si>
    <t>India</t>
  </si>
  <si>
    <t>Maharashtra</t>
  </si>
  <si>
    <t>Singapore</t>
  </si>
  <si>
    <t>Moderate</t>
  </si>
  <si>
    <t>High ROI</t>
  </si>
  <si>
    <t>Low</t>
  </si>
  <si>
    <t>Monthly brand awareness and promotional activity. Synthetic data generated based on historical marketing intensity.</t>
  </si>
  <si>
    <t>Row Labels</t>
  </si>
  <si>
    <t>Grand Total</t>
  </si>
  <si>
    <t>Column Labels</t>
  </si>
  <si>
    <t>Sum of Budget_USD</t>
  </si>
  <si>
    <t>Column1</t>
  </si>
  <si>
    <t>Chitale Bandhu  Marketing sales Analysis Reports</t>
  </si>
  <si>
    <t>Haldiram  sales Marketing analysis</t>
  </si>
  <si>
    <t>Marketing Strategy</t>
  </si>
  <si>
    <t>BRAND</t>
  </si>
  <si>
    <t>Chitale</t>
  </si>
  <si>
    <t>Get Match Ready with Chitale Mini Bakarwadi” (IPL + Mumbai Indians tie-up)</t>
  </si>
  <si>
    <t>STRATEGY</t>
  </si>
  <si>
    <t>DATA POINT</t>
  </si>
  <si>
    <t>WHAT THIS SHOWS</t>
  </si>
  <si>
    <t>1)</t>
  </si>
  <si>
    <t>2)</t>
  </si>
  <si>
    <t>• Partnered with Mumbai Indians for IPL.
• TV + digital campaign with actors Amey Wagh &amp; Ayush Mehra.
• Used Marathi + Hindi communication to bridge regional &amp; national audiences.</t>
  </si>
  <si>
    <t>• Smart use of sport to connect emotionally across demographics.
• Shows brand’s awareness that connecting with people emotionally — through relatable moments like cricket — is key to going national.</t>
  </si>
  <si>
    <t>Sachin Tendulkar as Global Brand Ambassador (2024)</t>
  </si>
  <si>
    <t>• Endorsed by Sachin Tendulkar; part of 75-year brand evolution.
• Aligns brand values: trust, quality, and legacy.</t>
  </si>
  <si>
    <t>• A symbolic step toward connecting with all Indians — Sachin represents universality, nostalgia, and shared emotion.
• Reflects the belief that “until we connect with the people, we must bring something everyone relates to.”</t>
  </si>
  <si>
    <t>Bingebar Launch (Digital + Offline Activation)</t>
  </si>
  <si>
    <t>3)</t>
  </si>
  <si>
    <t>• Turned namkeen into single-serve bar.
• Digital teasers + influencer seeding + offline sampling.</t>
  </si>
  <si>
    <t>• Innovation designed around modern lifestyles — portability, convenience, youth appeal.
• Represents an effort to make a traditional snack globally relatable and contemporary.</t>
  </si>
  <si>
    <t>Capacity Expansion + Precision Targeting</t>
  </si>
  <si>
    <t>• ₹265 crore investment to scale production and VAP (value-added product) portfolio.
• Smaller SKUs, baked options, and export outreach.</t>
  </si>
  <si>
    <t>• Strategic shift from local heritage to universal accessibility — product formats and pricing aimed at connecting with broader consumer bases.</t>
  </si>
  <si>
    <t>Haldiram’s</t>
  </si>
  <si>
    <t>“Khulke Khilao Holi” Campaign (Festival-Led Digital Marketing)</t>
  </si>
  <si>
    <t>• Celebrated inclusivity and sharing snacks during Holi.
• Tagline: “Khulke Khilao Holi.”
• Focused on family &amp; friendship.</t>
  </si>
  <si>
    <t>• Builds emotional connection using shared cultural values.
• Relatability is built through everyday celebrations — making brand part of collective happiness.</t>
  </si>
  <si>
    <t>• Used celebrities (Varun Dhawan, Janhvi Kapoor).
• Promoted convenience foods and gifting.
• Mass reach through digital and retail tie-ins.</t>
  </si>
  <si>
    <t>“Pack Kiya Kya” / “Minute Khana” Campaigns</t>
  </si>
  <si>
    <t>• Reinforces brand presence in daily life — “something for every moment.”
• Demonstrates how relatable narratives (food as love, care, comfort) keep Haldiram’s universal.</t>
  </si>
  <si>
    <t>Festival Gifting &amp; Emotional Storytelling (“Pyaar ke Naam, Haldiram’s”)</t>
  </si>
  <si>
    <t>• Focused on love, togetherness, and sharing during festivals.
• Integrated campaign: TV + digital + packaging design.</t>
  </si>
  <si>
    <t>• Proves that long-term loyalty comes from emotional connection, not just distribution reach.
• The brand continuously re-anchors itself to moments people everywhere can relate to.</t>
  </si>
  <si>
    <t xml:space="preserve">Points </t>
  </si>
  <si>
    <t>Adding punch lines is really important and creating a bond with consumers.</t>
  </si>
  <si>
    <t>Connecting with another state of people and making advertisment will be more helpful.</t>
  </si>
  <si>
    <t>Event-/Festival-led marketing is important for both. Chitale uses IPL; Haldiram uses Holi, Diwali etc. These are high-visibility moments to push both awareness and sales.
Celebrity / Ambassador tie-ups: Chitale recently with Sachin Tendulkar; Haldiram with Bollywood stars. These add reach and credibility.
Smaller / affordable SKUs &amp; convenience packaging: Chitale introducing ₹10 baked namkeen bars, mini rolls; Haldiram already has smaller packs and value price points. Crucial for reaching price-sensitive customers.
Mix of digital &amp; offline channels: Both are using TV / GECs; both have strong digital rollout (social media, influencer seeding); Chitale also uses sampling / activations; Haldiram uses point-of-sale, displays, emotional videos, etc.
Growth through capacity / distribution expansion more evident in Chitale recently (investment in capacity, targeting spree into new markets). Haldiram already has built strong distribution, but still innovates product variation + packaging.
Product category expansion: Chitale is expanding beyond dairy/sweets into baked snacks, namkeen bars; Haldiram is expanding its RTE/frozen, healthy snacks etc.</t>
  </si>
  <si>
    <t xml:space="preserve">Total Sales </t>
  </si>
  <si>
    <t>Total Slaes</t>
  </si>
  <si>
    <t>What Haldiram's Doing.</t>
  </si>
  <si>
    <t>Branding, Marketing and Promoting this are main targets</t>
  </si>
  <si>
    <t>4)</t>
  </si>
  <si>
    <t>Research</t>
  </si>
  <si>
    <t>Key Points</t>
  </si>
  <si>
    <t>1)  I found that in the advertisment, that using the same punchlines repeatedly.</t>
  </si>
  <si>
    <t>2) We are not connecting with the other state of people to promot our brand.</t>
  </si>
  <si>
    <t>3) No sitting arrangment in the outlets that people will sit and enjoy there food.</t>
  </si>
  <si>
    <t>4) We can sell the bhakarwadi into small packaged container around   20 ruppes and can distrubute it to the all stores of the grossery.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</si>
</sst>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9" x14ac:knownFonts="1">
    <font>
      <sz val="11"/>
      <color theme="1"/>
      <name val="Calibri"/>
      <family val="2"/>
      <scheme val="minor"/>
    </font>
    <font>
      <b/>
      <sz val="11"/>
      <color theme="1"/>
      <name val="Calibri"/>
      <family val="2"/>
      <scheme val="minor"/>
    </font>
    <font>
      <b/>
      <sz val="11"/>
      <color theme="0"/>
      <name val="Calibri"/>
      <family val="2"/>
      <scheme val="minor"/>
    </font>
    <font>
      <sz val="36"/>
      <color theme="1" tint="4.9989318521683403E-2"/>
      <name val="Algerian"/>
      <family val="5"/>
    </font>
    <font>
      <sz val="48"/>
      <color theme="2"/>
      <name val="Algerian"/>
      <family val="5"/>
    </font>
    <font>
      <sz val="16"/>
      <color theme="1"/>
      <name val="Algerian"/>
      <family val="5"/>
    </font>
    <font>
      <sz val="18"/>
      <color theme="1"/>
      <name val="Algerian"/>
      <family val="5"/>
    </font>
    <font>
      <sz val="20"/>
      <color theme="1"/>
      <name val="Algerian"/>
      <family val="5"/>
    </font>
    <font>
      <sz val="14"/>
      <color theme="1"/>
      <name val="Aharoni"/>
      <charset val="177"/>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tint="0.499984740745262"/>
        <bgColor indexed="64"/>
      </patternFill>
    </fill>
    <fill>
      <patternFill patternType="solid">
        <fgColor rgb="FF4D4D4D"/>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1" fillId="0" borderId="2" xfId="0" applyFont="1" applyBorder="1" applyAlignment="1">
      <alignment horizontal="center" vertical="top"/>
    </xf>
    <xf numFmtId="0" fontId="0" fillId="3" borderId="3" xfId="0" applyFill="1" applyBorder="1"/>
    <xf numFmtId="0" fontId="0" fillId="3" borderId="4" xfId="0" applyFill="1" applyBorder="1"/>
    <xf numFmtId="0" fontId="0" fillId="3" borderId="5"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2" fillId="2" borderId="1" xfId="0" applyFont="1" applyFill="1" applyBorder="1" applyAlignment="1">
      <alignment horizontal="center" vertical="top"/>
    </xf>
    <xf numFmtId="164" fontId="2" fillId="2" borderId="1" xfId="0" applyNumberFormat="1" applyFont="1" applyFill="1" applyBorder="1" applyAlignment="1">
      <alignment horizontal="center" vertical="top"/>
    </xf>
    <xf numFmtId="164" fontId="0" fillId="3" borderId="4" xfId="0" applyNumberFormat="1" applyFill="1" applyBorder="1"/>
    <xf numFmtId="164" fontId="0" fillId="4" borderId="4" xfId="0" applyNumberFormat="1" applyFill="1" applyBorder="1"/>
    <xf numFmtId="164" fontId="0" fillId="4" borderId="7" xfId="0" applyNumberFormat="1" applyFill="1" applyBorder="1"/>
    <xf numFmtId="164" fontId="0" fillId="0" borderId="0" xfId="0" applyNumberFormat="1"/>
    <xf numFmtId="164"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5" borderId="0" xfId="0" applyFill="1"/>
    <xf numFmtId="0" fontId="0" fillId="6" borderId="0" xfId="0" applyFill="1"/>
    <xf numFmtId="0" fontId="1" fillId="0" borderId="0" xfId="0" applyFont="1"/>
    <xf numFmtId="0" fontId="0" fillId="0" borderId="0" xfId="0" applyAlignment="1">
      <alignment wrapText="1"/>
    </xf>
    <xf numFmtId="0" fontId="2" fillId="2" borderId="9" xfId="0" applyFont="1" applyFill="1" applyBorder="1" applyAlignment="1">
      <alignment horizontal="center" vertical="top"/>
    </xf>
    <xf numFmtId="0" fontId="4" fillId="6" borderId="0" xfId="0" applyFont="1" applyFill="1" applyAlignment="1">
      <alignment horizontal="center"/>
    </xf>
    <xf numFmtId="0" fontId="0" fillId="6" borderId="0" xfId="0" applyFill="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left"/>
    </xf>
    <xf numFmtId="0" fontId="0" fillId="0" borderId="0" xfId="0" applyAlignment="1">
      <alignment horizontal="left"/>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4D4D4D"/>
      <color rgb="FF808080"/>
      <color rgb="FFC1BD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microsoft.com/office/2007/relationships/slicerCache" Target="slicerCaches/slicerCache5.xml"/><Relationship Id="rId21" Type="http://schemas.openxmlformats.org/officeDocument/2006/relationships/pivotCacheDefinition" Target="pivotCache/pivotCacheDefinition1.xml"/><Relationship Id="rId34" Type="http://schemas.openxmlformats.org/officeDocument/2006/relationships/pivotCacheDefinition" Target="pivotCache/pivotCacheDefinition14.xml"/><Relationship Id="rId42" Type="http://schemas.microsoft.com/office/2007/relationships/slicerCache" Target="slicerCaches/slicerCache8.xml"/><Relationship Id="rId47" Type="http://schemas.microsoft.com/office/2007/relationships/slicerCache" Target="slicerCaches/slicerCache13.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microsoft.com/office/2007/relationships/slicerCache" Target="slicerCaches/slicerCache3.xml"/><Relationship Id="rId40" Type="http://schemas.microsoft.com/office/2007/relationships/slicerCache" Target="slicerCaches/slicerCache6.xml"/><Relationship Id="rId45" Type="http://schemas.microsoft.com/office/2007/relationships/slicerCache" Target="slicerCaches/slicerCache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microsoft.com/office/2007/relationships/slicerCache" Target="slicerCaches/slicerCache2.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1.xml"/><Relationship Id="rId44"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microsoft.com/office/2007/relationships/slicerCache" Target="slicerCaches/slicerCache1.xml"/><Relationship Id="rId43" Type="http://schemas.microsoft.com/office/2007/relationships/slicerCache" Target="slicerCaches/slicerCache9.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microsoft.com/office/2007/relationships/slicerCache" Target="slicerCaches/slicerCache4.xml"/><Relationship Id="rId46" Type="http://schemas.microsoft.com/office/2007/relationships/slicerCache" Target="slicerCaches/slicerCache12.xml"/><Relationship Id="rId20" Type="http://schemas.openxmlformats.org/officeDocument/2006/relationships/worksheet" Target="worksheets/sheet20.xml"/><Relationship Id="rId41"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DIGITAL ADDS!PivotTable11</c:name>
    <c:fmtId val="12"/>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800" b="1"/>
              <a:t>Digital</a:t>
            </a:r>
            <a:r>
              <a:rPr lang="en-US" sz="2800" b="1" baseline="0"/>
              <a:t> Adds</a:t>
            </a:r>
          </a:p>
        </c:rich>
      </c:tx>
      <c:layout>
        <c:manualLayout>
          <c:xMode val="edge"/>
          <c:yMode val="edge"/>
          <c:x val="0.4785634584162789"/>
          <c:y val="8.8312522285398432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944481415401209"/>
          <c:y val="0.19815829942874033"/>
          <c:w val="0.41708067763939166"/>
          <c:h val="0.70683025131488408"/>
        </c:manualLayout>
      </c:layout>
      <c:pieChart>
        <c:varyColors val="1"/>
        <c:ser>
          <c:idx val="0"/>
          <c:order val="0"/>
          <c:tx>
            <c:strRef>
              <c:f>'H DIGITAL ADDS'!$B$3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50-4D0C-BEED-608FCCDBDCEC}"/>
              </c:ext>
            </c:extLst>
          </c:dPt>
          <c:dPt>
            <c:idx val="1"/>
            <c:bubble3D val="0"/>
            <c:explosion val="2"/>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50-4D0C-BEED-608FCCDBDC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 DIGITAL ADDS'!$A$4:$A$8</c:f>
              <c:multiLvlStrCache>
                <c:ptCount val="2"/>
                <c:lvl>
                  <c:pt idx="0">
                    <c:v>Delhi NCR</c:v>
                  </c:pt>
                  <c:pt idx="1">
                    <c:v>UAE</c:v>
                  </c:pt>
                </c:lvl>
                <c:lvl>
                  <c:pt idx="0">
                    <c:v>2023-07-01</c:v>
                  </c:pt>
                  <c:pt idx="1">
                    <c:v>2025-09-01</c:v>
                  </c:pt>
                </c:lvl>
              </c:multiLvlStrCache>
            </c:multiLvlStrRef>
          </c:cat>
          <c:val>
            <c:numRef>
              <c:f>'H DIGITAL ADDS'!$B$4:$B$8</c:f>
              <c:numCache>
                <c:formatCode>_ [$₹-4009]\ * #,##0.00_ ;_ [$₹-4009]\ * \-#,##0.00_ ;_ [$₹-4009]\ * "-"??_ ;_ @_ </c:formatCode>
                <c:ptCount val="2"/>
                <c:pt idx="0">
                  <c:v>197718</c:v>
                </c:pt>
                <c:pt idx="1">
                  <c:v>272866</c:v>
                </c:pt>
              </c:numCache>
            </c:numRef>
          </c:val>
          <c:extLst>
            <c:ext xmlns:c16="http://schemas.microsoft.com/office/drawing/2014/chart" uri="{C3380CC4-5D6E-409C-BE32-E72D297353CC}">
              <c16:uniqueId val="{00000004-F850-4D0C-BEED-608FCCDBDC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EVENT!PivotTable12</c:name>
    <c:fmtId val="5"/>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IN" sz="2800"/>
              <a:t>Event</a:t>
            </a:r>
          </a:p>
        </c:rich>
      </c:tx>
      <c:layout>
        <c:manualLayout>
          <c:xMode val="edge"/>
          <c:yMode val="edge"/>
          <c:x val="0.48404794806278356"/>
          <c:y val="0.11923536207881531"/>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10870516185478"/>
          <c:y val="0.30835508061492312"/>
          <c:w val="0.66203937007874014"/>
          <c:h val="0.42175890513685788"/>
        </c:manualLayout>
      </c:layout>
      <c:bar3DChart>
        <c:barDir val="col"/>
        <c:grouping val="clustered"/>
        <c:varyColors val="0"/>
        <c:ser>
          <c:idx val="0"/>
          <c:order val="0"/>
          <c:tx>
            <c:strRef>
              <c:f>'H EVENT'!$B$3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'H EVENT'!$A$4:$A$6</c:f>
              <c:multiLvlStrCache>
                <c:ptCount val="1"/>
                <c:lvl>
                  <c:pt idx="0">
                    <c:v>USA</c:v>
                  </c:pt>
                </c:lvl>
                <c:lvl>
                  <c:pt idx="0">
                    <c:v>2024-09-01</c:v>
                  </c:pt>
                </c:lvl>
              </c:multiLvlStrCache>
            </c:multiLvlStrRef>
          </c:cat>
          <c:val>
            <c:numRef>
              <c:f>'H EVENT'!$B$4:$B$6</c:f>
              <c:numCache>
                <c:formatCode>_ [$₹-4009]\ * #,##0.00_ ;_ [$₹-4009]\ * \-#,##0.00_ ;_ [$₹-4009]\ * "-"??_ ;_ @_ </c:formatCode>
                <c:ptCount val="1"/>
                <c:pt idx="0">
                  <c:v>282351</c:v>
                </c:pt>
              </c:numCache>
            </c:numRef>
          </c:val>
          <c:extLst>
            <c:ext xmlns:c16="http://schemas.microsoft.com/office/drawing/2014/chart" uri="{C3380CC4-5D6E-409C-BE32-E72D297353CC}">
              <c16:uniqueId val="{00000000-4288-4E09-AEBE-A0EE91DD12A8}"/>
            </c:ext>
          </c:extLst>
        </c:ser>
        <c:dLbls>
          <c:showLegendKey val="0"/>
          <c:showVal val="0"/>
          <c:showCatName val="0"/>
          <c:showSerName val="0"/>
          <c:showPercent val="0"/>
          <c:showBubbleSize val="0"/>
        </c:dLbls>
        <c:gapWidth val="65"/>
        <c:shape val="box"/>
        <c:axId val="1663314416"/>
        <c:axId val="1663312496"/>
        <c:axId val="0"/>
      </c:bar3DChart>
      <c:catAx>
        <c:axId val="16633144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3312496"/>
        <c:crosses val="autoZero"/>
        <c:auto val="1"/>
        <c:lblAlgn val="ctr"/>
        <c:lblOffset val="100"/>
        <c:noMultiLvlLbl val="0"/>
      </c:catAx>
      <c:valAx>
        <c:axId val="1663312496"/>
        <c:scaling>
          <c:orientation val="minMax"/>
        </c:scaling>
        <c:delete val="0"/>
        <c:axPos val="l"/>
        <c:majorGridlines>
          <c:spPr>
            <a:ln w="9525" cap="flat" cmpd="sng" algn="ctr">
              <a:solidFill>
                <a:schemeClr val="dk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crossAx val="16633144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INFLUENCER!PivotTable13</c:name>
    <c:fmtId val="4"/>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Influencer</a:t>
            </a:r>
          </a:p>
        </c:rich>
      </c:tx>
      <c:layout>
        <c:manualLayout>
          <c:xMode val="edge"/>
          <c:yMode val="edge"/>
          <c:x val="0.41863596618091553"/>
          <c:y val="8.88580456769587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275262467191601"/>
          <c:w val="0.70660629921259843"/>
          <c:h val="0.65030511811023617"/>
        </c:manualLayout>
      </c:layout>
      <c:pie3DChart>
        <c:varyColors val="1"/>
        <c:ser>
          <c:idx val="0"/>
          <c:order val="0"/>
          <c:tx>
            <c:strRef>
              <c:f>'H INFLUENCER'!$B$3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1A7-488D-829A-77A9123F63E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1A7-488D-829A-77A9123F63E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1A7-488D-829A-77A9123F63E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1A7-488D-829A-77A9123F63E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 INFLUENCER'!$A$4:$A$12</c:f>
              <c:multiLvlStrCache>
                <c:ptCount val="4"/>
                <c:lvl>
                  <c:pt idx="0">
                    <c:v>USA</c:v>
                  </c:pt>
                  <c:pt idx="1">
                    <c:v>UK</c:v>
                  </c:pt>
                  <c:pt idx="2">
                    <c:v>Maharashtra</c:v>
                  </c:pt>
                  <c:pt idx="3">
                    <c:v>Delhi NCR</c:v>
                  </c:pt>
                </c:lvl>
                <c:lvl>
                  <c:pt idx="0">
                    <c:v>2024-07-01</c:v>
                  </c:pt>
                  <c:pt idx="1">
                    <c:v>2025-03-01</c:v>
                  </c:pt>
                  <c:pt idx="2">
                    <c:v>2025-05-01</c:v>
                  </c:pt>
                  <c:pt idx="3">
                    <c:v>2025-06-01</c:v>
                  </c:pt>
                </c:lvl>
              </c:multiLvlStrCache>
            </c:multiLvlStrRef>
          </c:cat>
          <c:val>
            <c:numRef>
              <c:f>'H INFLUENCER'!$B$4:$B$12</c:f>
              <c:numCache>
                <c:formatCode>_ [$₹-4009]\ * #,##0.00_ ;_ [$₹-4009]\ * \-#,##0.00_ ;_ [$₹-4009]\ * "-"??_ ;_ @_ </c:formatCode>
                <c:ptCount val="4"/>
                <c:pt idx="0">
                  <c:v>93525</c:v>
                </c:pt>
                <c:pt idx="1">
                  <c:v>137922</c:v>
                </c:pt>
                <c:pt idx="2">
                  <c:v>277897</c:v>
                </c:pt>
                <c:pt idx="3">
                  <c:v>249099</c:v>
                </c:pt>
              </c:numCache>
            </c:numRef>
          </c:val>
          <c:extLst>
            <c:ext xmlns:c16="http://schemas.microsoft.com/office/drawing/2014/chart" uri="{C3380CC4-5D6E-409C-BE32-E72D297353CC}">
              <c16:uniqueId val="{00000008-21A7-488D-829A-77A9123F63E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PRINT!PivotTable14</c:name>
    <c:fmtId val="4"/>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Print</a:t>
            </a:r>
            <a:r>
              <a:rPr lang="en-US" sz="2800" baseline="0"/>
              <a:t> </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 PRINT'!$B$3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F0-4E8F-B5FD-4BB7C2ED10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F0-4E8F-B5FD-4BB7C2ED10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F0-4E8F-B5FD-4BB7C2ED10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6F0-4E8F-B5FD-4BB7C2ED102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6F0-4E8F-B5FD-4BB7C2ED102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6F0-4E8F-B5FD-4BB7C2ED102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6F0-4E8F-B5FD-4BB7C2ED102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6F0-4E8F-B5FD-4BB7C2ED10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 PRINT'!$A$4:$A$20</c:f>
              <c:multiLvlStrCache>
                <c:ptCount val="8"/>
                <c:lvl>
                  <c:pt idx="0">
                    <c:v>Maharashtra</c:v>
                  </c:pt>
                  <c:pt idx="1">
                    <c:v>India</c:v>
                  </c:pt>
                  <c:pt idx="2">
                    <c:v>UAE</c:v>
                  </c:pt>
                  <c:pt idx="3">
                    <c:v>UAE</c:v>
                  </c:pt>
                  <c:pt idx="4">
                    <c:v>Singapore</c:v>
                  </c:pt>
                  <c:pt idx="5">
                    <c:v>Singapore</c:v>
                  </c:pt>
                  <c:pt idx="6">
                    <c:v>Delhi NCR</c:v>
                  </c:pt>
                  <c:pt idx="7">
                    <c:v>USA</c:v>
                  </c:pt>
                </c:lvl>
                <c:lvl>
                  <c:pt idx="0">
                    <c:v>2023-02-01</c:v>
                  </c:pt>
                  <c:pt idx="1">
                    <c:v>2023-08-01</c:v>
                  </c:pt>
                  <c:pt idx="2">
                    <c:v>2023-10-01</c:v>
                  </c:pt>
                  <c:pt idx="3">
                    <c:v>2023-11-01</c:v>
                  </c:pt>
                  <c:pt idx="4">
                    <c:v>2024-02-01</c:v>
                  </c:pt>
                  <c:pt idx="5">
                    <c:v>2024-05-01</c:v>
                  </c:pt>
                  <c:pt idx="6">
                    <c:v>2024-06-01</c:v>
                  </c:pt>
                  <c:pt idx="7">
                    <c:v>2025-07-01</c:v>
                  </c:pt>
                </c:lvl>
              </c:multiLvlStrCache>
            </c:multiLvlStrRef>
          </c:cat>
          <c:val>
            <c:numRef>
              <c:f>'H PRINT'!$B$4:$B$20</c:f>
              <c:numCache>
                <c:formatCode>_ [$₹-4009]\ * #,##0.00_ ;_ [$₹-4009]\ * \-#,##0.00_ ;_ [$₹-4009]\ * "-"??_ ;_ @_ </c:formatCode>
                <c:ptCount val="8"/>
                <c:pt idx="0">
                  <c:v>246805</c:v>
                </c:pt>
                <c:pt idx="1">
                  <c:v>183121</c:v>
                </c:pt>
                <c:pt idx="2">
                  <c:v>176071</c:v>
                </c:pt>
                <c:pt idx="3">
                  <c:v>234423</c:v>
                </c:pt>
                <c:pt idx="4">
                  <c:v>280594</c:v>
                </c:pt>
                <c:pt idx="5">
                  <c:v>157455</c:v>
                </c:pt>
                <c:pt idx="6">
                  <c:v>159616</c:v>
                </c:pt>
                <c:pt idx="7">
                  <c:v>268214</c:v>
                </c:pt>
              </c:numCache>
            </c:numRef>
          </c:val>
          <c:extLst>
            <c:ext xmlns:c16="http://schemas.microsoft.com/office/drawing/2014/chart" uri="{C3380CC4-5D6E-409C-BE32-E72D297353CC}">
              <c16:uniqueId val="{00000010-26F0-4E8F-B5FD-4BB7C2ED102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688269207761165"/>
          <c:y val="0.24382796150740685"/>
          <c:w val="0.31308791865296615"/>
          <c:h val="0.676801405160907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RADIO!PivotTable15</c:name>
    <c:fmtId val="6"/>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Radio</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'H RADIO'!$B$3</c:f>
              <c:strCache>
                <c:ptCount val="1"/>
                <c:pt idx="0">
                  <c:v>Total</c:v>
                </c:pt>
              </c:strCache>
            </c:strRef>
          </c:tx>
          <c:spPr>
            <a:solidFill>
              <a:schemeClr val="accent1">
                <a:alpha val="85000"/>
              </a:schemeClr>
            </a:solidFill>
            <a:ln>
              <a:noFill/>
            </a:ln>
            <a:effectLst>
              <a:innerShdw dist="12700" dir="16200000">
                <a:schemeClr val="lt1"/>
              </a:innerShdw>
            </a:effectLst>
          </c:spPr>
          <c:cat>
            <c:multiLvlStrRef>
              <c:f>'H RADIO'!$A$4:$A$20</c:f>
              <c:multiLvlStrCache>
                <c:ptCount val="8"/>
                <c:lvl>
                  <c:pt idx="0">
                    <c:v>Delhi NCR</c:v>
                  </c:pt>
                  <c:pt idx="1">
                    <c:v>UK</c:v>
                  </c:pt>
                  <c:pt idx="2">
                    <c:v>UAE</c:v>
                  </c:pt>
                  <c:pt idx="3">
                    <c:v>Maharashtra</c:v>
                  </c:pt>
                  <c:pt idx="4">
                    <c:v>India</c:v>
                  </c:pt>
                  <c:pt idx="5">
                    <c:v>Singapore</c:v>
                  </c:pt>
                  <c:pt idx="6">
                    <c:v>Delhi NCR</c:v>
                  </c:pt>
                  <c:pt idx="7">
                    <c:v>Maharashtra</c:v>
                  </c:pt>
                </c:lvl>
                <c:lvl>
                  <c:pt idx="0">
                    <c:v>2023-01-01</c:v>
                  </c:pt>
                  <c:pt idx="1">
                    <c:v>2023-05-01</c:v>
                  </c:pt>
                  <c:pt idx="2">
                    <c:v>2024-11-01</c:v>
                  </c:pt>
                  <c:pt idx="3">
                    <c:v>2025-01-01</c:v>
                  </c:pt>
                  <c:pt idx="4">
                    <c:v>2025-02-01</c:v>
                  </c:pt>
                  <c:pt idx="5">
                    <c:v>2025-04-01</c:v>
                  </c:pt>
                  <c:pt idx="6">
                    <c:v>2025-08-01</c:v>
                  </c:pt>
                  <c:pt idx="7">
                    <c:v>2025-10-01</c:v>
                  </c:pt>
                </c:lvl>
              </c:multiLvlStrCache>
            </c:multiLvlStrRef>
          </c:cat>
          <c:val>
            <c:numRef>
              <c:f>'H RADIO'!$B$4:$B$20</c:f>
              <c:numCache>
                <c:formatCode>_ [$₹-4009]\ * #,##0.00_ ;_ [$₹-4009]\ * \-#,##0.00_ ;_ [$₹-4009]\ * "-"??_ ;_ @_ </c:formatCode>
                <c:ptCount val="8"/>
                <c:pt idx="0">
                  <c:v>159751</c:v>
                </c:pt>
                <c:pt idx="1">
                  <c:v>189752</c:v>
                </c:pt>
                <c:pt idx="2">
                  <c:v>68070</c:v>
                </c:pt>
                <c:pt idx="3">
                  <c:v>285362</c:v>
                </c:pt>
                <c:pt idx="4">
                  <c:v>160627</c:v>
                </c:pt>
                <c:pt idx="5">
                  <c:v>280229</c:v>
                </c:pt>
                <c:pt idx="6">
                  <c:v>220806</c:v>
                </c:pt>
                <c:pt idx="7">
                  <c:v>140852</c:v>
                </c:pt>
              </c:numCache>
            </c:numRef>
          </c:val>
          <c:extLst>
            <c:ext xmlns:c16="http://schemas.microsoft.com/office/drawing/2014/chart" uri="{C3380CC4-5D6E-409C-BE32-E72D297353CC}">
              <c16:uniqueId val="{00000000-858A-475D-8E69-501261AE89BC}"/>
            </c:ext>
          </c:extLst>
        </c:ser>
        <c:dLbls>
          <c:showLegendKey val="0"/>
          <c:showVal val="0"/>
          <c:showCatName val="0"/>
          <c:showSerName val="0"/>
          <c:showPercent val="0"/>
          <c:showBubbleSize val="0"/>
        </c:dLbls>
        <c:axId val="1480554272"/>
        <c:axId val="1480552832"/>
      </c:areaChart>
      <c:catAx>
        <c:axId val="1480554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0552832"/>
        <c:crosses val="autoZero"/>
        <c:auto val="1"/>
        <c:lblAlgn val="ctr"/>
        <c:lblOffset val="100"/>
        <c:noMultiLvlLbl val="0"/>
      </c:catAx>
      <c:valAx>
        <c:axId val="1480552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crossAx val="148055427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SOCIAL MEDIA!PivotTable16</c:name>
    <c:fmtId val="4"/>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Social</a:t>
            </a:r>
            <a:r>
              <a:rPr lang="en-US" sz="2800" baseline="0"/>
              <a:t> Media</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4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4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4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4897403234449941E-2"/>
          <c:y val="0.22787047920228709"/>
          <c:w val="0.686538752640098"/>
          <c:h val="0.69691732777076987"/>
        </c:manualLayout>
      </c:layout>
      <c:ofPieChart>
        <c:ofPieType val="pie"/>
        <c:varyColors val="1"/>
        <c:ser>
          <c:idx val="0"/>
          <c:order val="0"/>
          <c:tx>
            <c:strRef>
              <c:f>'H SOCIAL MEDIA'!$B$3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3F-4129-A5F0-63489FA89C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3F-4129-A5F0-63489FA89CB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C3F-4129-A5F0-63489FA89CB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C3F-4129-A5F0-63489FA89CB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C3F-4129-A5F0-63489FA89CB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C3F-4129-A5F0-63489FA89CB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C3F-4129-A5F0-63489FA89C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4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 SOCIAL MEDIA'!$A$4:$A$16</c:f>
              <c:multiLvlStrCache>
                <c:ptCount val="6"/>
                <c:lvl>
                  <c:pt idx="0">
                    <c:v>UK</c:v>
                  </c:pt>
                  <c:pt idx="1">
                    <c:v>Singapore</c:v>
                  </c:pt>
                  <c:pt idx="2">
                    <c:v>India</c:v>
                  </c:pt>
                  <c:pt idx="3">
                    <c:v>USA</c:v>
                  </c:pt>
                  <c:pt idx="4">
                    <c:v>UAE</c:v>
                  </c:pt>
                  <c:pt idx="5">
                    <c:v>UAE</c:v>
                  </c:pt>
                </c:lvl>
                <c:lvl>
                  <c:pt idx="0">
                    <c:v>2023-04-01</c:v>
                  </c:pt>
                  <c:pt idx="1">
                    <c:v>2023-09-01</c:v>
                  </c:pt>
                  <c:pt idx="2">
                    <c:v>2023-12-01</c:v>
                  </c:pt>
                  <c:pt idx="3">
                    <c:v>2024-01-01</c:v>
                  </c:pt>
                  <c:pt idx="4">
                    <c:v>2024-03-01</c:v>
                  </c:pt>
                  <c:pt idx="5">
                    <c:v>2024-04-01</c:v>
                  </c:pt>
                </c:lvl>
              </c:multiLvlStrCache>
            </c:multiLvlStrRef>
          </c:cat>
          <c:val>
            <c:numRef>
              <c:f>'H SOCIAL MEDIA'!$B$4:$B$16</c:f>
              <c:numCache>
                <c:formatCode>_ [$₹-4009]\ * #,##0.00_ ;_ [$₹-4009]\ * \-#,##0.00_ ;_ [$₹-4009]\ * "-"??_ ;_ @_ </c:formatCode>
                <c:ptCount val="6"/>
                <c:pt idx="0">
                  <c:v>253154</c:v>
                </c:pt>
                <c:pt idx="1">
                  <c:v>224088</c:v>
                </c:pt>
                <c:pt idx="2">
                  <c:v>293548</c:v>
                </c:pt>
                <c:pt idx="3">
                  <c:v>162296</c:v>
                </c:pt>
                <c:pt idx="4">
                  <c:v>69830</c:v>
                </c:pt>
                <c:pt idx="5">
                  <c:v>186967</c:v>
                </c:pt>
              </c:numCache>
            </c:numRef>
          </c:val>
          <c:extLst>
            <c:ext xmlns:c16="http://schemas.microsoft.com/office/drawing/2014/chart" uri="{C3380CC4-5D6E-409C-BE32-E72D297353CC}">
              <c16:uniqueId val="{0000000E-1C3F-4129-A5F0-63489FA89CB2}"/>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[chitale_haldiram_marketing_2023_2025.xlsx]H TV!PivotTable17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a:t>TV</a:t>
            </a:r>
            <a:r>
              <a:rPr lang="en-US" sz="2400" baseline="0"/>
              <a:t> Adds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5627548713530686E-2"/>
          <c:y val="0.26726796976941547"/>
          <c:w val="0.72815574338926958"/>
          <c:h val="0.57178452054440121"/>
        </c:manualLayout>
      </c:layout>
      <c:ofPieChart>
        <c:ofPieType val="bar"/>
        <c:varyColors val="1"/>
        <c:ser>
          <c:idx val="0"/>
          <c:order val="0"/>
          <c:tx>
            <c:strRef>
              <c:f>'H TV'!$B$3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E5-4642-AF84-EEA7938CCD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E5-4642-AF84-EEA7938CCD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E5-4642-AF84-EEA7938CCD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8E5-4642-AF84-EEA7938CCD8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8E5-4642-AF84-EEA7938CCD8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8E5-4642-AF84-EEA7938CCD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 TV'!$A$4:$A$14</c:f>
              <c:multiLvlStrCache>
                <c:ptCount val="5"/>
                <c:lvl>
                  <c:pt idx="0">
                    <c:v>UK</c:v>
                  </c:pt>
                  <c:pt idx="1">
                    <c:v>Delhi NCR</c:v>
                  </c:pt>
                  <c:pt idx="2">
                    <c:v>UAE</c:v>
                  </c:pt>
                  <c:pt idx="3">
                    <c:v>Maharashtra</c:v>
                  </c:pt>
                  <c:pt idx="4">
                    <c:v>India</c:v>
                  </c:pt>
                </c:lvl>
                <c:lvl>
                  <c:pt idx="0">
                    <c:v>2023-03-01</c:v>
                  </c:pt>
                  <c:pt idx="1">
                    <c:v>2023-06-01</c:v>
                  </c:pt>
                  <c:pt idx="2">
                    <c:v>2024-08-01</c:v>
                  </c:pt>
                  <c:pt idx="3">
                    <c:v>2024-10-01</c:v>
                  </c:pt>
                  <c:pt idx="4">
                    <c:v>2024-12-01</c:v>
                  </c:pt>
                </c:lvl>
              </c:multiLvlStrCache>
            </c:multiLvlStrRef>
          </c:cat>
          <c:val>
            <c:numRef>
              <c:f>'H TV'!$B$4:$B$14</c:f>
              <c:numCache>
                <c:formatCode>_ [$₹-4009]\ * #,##0.00_ ;_ [$₹-4009]\ * \-#,##0.00_ ;_ [$₹-4009]\ * "-"??_ ;_ @_ </c:formatCode>
                <c:ptCount val="5"/>
                <c:pt idx="0">
                  <c:v>136202</c:v>
                </c:pt>
                <c:pt idx="1">
                  <c:v>58155</c:v>
                </c:pt>
                <c:pt idx="2">
                  <c:v>226308</c:v>
                </c:pt>
                <c:pt idx="3">
                  <c:v>204165</c:v>
                </c:pt>
                <c:pt idx="4">
                  <c:v>155864</c:v>
                </c:pt>
              </c:numCache>
            </c:numRef>
          </c:val>
          <c:extLst>
            <c:ext xmlns:c16="http://schemas.microsoft.com/office/drawing/2014/chart" uri="{C3380CC4-5D6E-409C-BE32-E72D297353CC}">
              <c16:uniqueId val="{0000000C-88E5-4642-AF84-EEA7938CCD86}"/>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[chitale_haldiram_marketing_2023_2025.xlsx]DIGITAL ADDS!PivotTable2</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Digital</a:t>
            </a:r>
            <a:r>
              <a:rPr lang="en-IN" baseline="0"/>
              <a:t> Adds</a:t>
            </a:r>
            <a:endParaRPr lang="en-IN"/>
          </a:p>
        </c:rich>
      </c:tx>
      <c:layout>
        <c:manualLayout>
          <c:xMode val="edge"/>
          <c:yMode val="edge"/>
          <c:x val="0.42314597963983169"/>
          <c:y val="6.412096208320175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'DIGITAL ADDS'!$B$3:$B$4</c:f>
              <c:strCache>
                <c:ptCount val="1"/>
                <c:pt idx="0">
                  <c:v>Delhi NCR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'DIGITAL ADDS'!$A$5:$A$12</c:f>
              <c:strCache>
                <c:ptCount val="7"/>
                <c:pt idx="0">
                  <c:v>2023-02-01</c:v>
                </c:pt>
                <c:pt idx="1">
                  <c:v>2023-09-01</c:v>
                </c:pt>
                <c:pt idx="2">
                  <c:v>2023-12-01</c:v>
                </c:pt>
                <c:pt idx="3">
                  <c:v>2024-09-01</c:v>
                </c:pt>
                <c:pt idx="4">
                  <c:v>2024-10-01</c:v>
                </c:pt>
                <c:pt idx="5">
                  <c:v>2025-03-01</c:v>
                </c:pt>
                <c:pt idx="6">
                  <c:v>2025-10-01</c:v>
                </c:pt>
              </c:strCache>
            </c:strRef>
          </c:cat>
          <c:val>
            <c:numRef>
              <c:f>'DIGITAL ADDS'!$B$5:$B$12</c:f>
              <c:numCache>
                <c:formatCode>_ [$₹-4009]\ * #,##0.00_ ;_ [$₹-4009]\ * \-#,##0.00_ ;_ [$₹-4009]\ * "-"??_ ;_ @_ </c:formatCode>
                <c:ptCount val="7"/>
                <c:pt idx="0">
                  <c:v>148214</c:v>
                </c:pt>
              </c:numCache>
            </c:numRef>
          </c:val>
          <c:extLst>
            <c:ext xmlns:c16="http://schemas.microsoft.com/office/drawing/2014/chart" uri="{C3380CC4-5D6E-409C-BE32-E72D297353CC}">
              <c16:uniqueId val="{00000000-94B9-4E51-8745-0C70F092DF95}"/>
            </c:ext>
          </c:extLst>
        </c:ser>
        <c:ser>
          <c:idx val="1"/>
          <c:order val="1"/>
          <c:tx>
            <c:strRef>
              <c:f>'DIGITAL ADDS'!$C$3:$C$4</c:f>
              <c:strCache>
                <c:ptCount val="1"/>
                <c:pt idx="0">
                  <c:v>Maharashtra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'DIGITAL ADDS'!$A$5:$A$12</c:f>
              <c:strCache>
                <c:ptCount val="7"/>
                <c:pt idx="0">
                  <c:v>2023-02-01</c:v>
                </c:pt>
                <c:pt idx="1">
                  <c:v>2023-09-01</c:v>
                </c:pt>
                <c:pt idx="2">
                  <c:v>2023-12-01</c:v>
                </c:pt>
                <c:pt idx="3">
                  <c:v>2024-09-01</c:v>
                </c:pt>
                <c:pt idx="4">
                  <c:v>2024-10-01</c:v>
                </c:pt>
                <c:pt idx="5">
                  <c:v>2025-03-01</c:v>
                </c:pt>
                <c:pt idx="6">
                  <c:v>2025-10-01</c:v>
                </c:pt>
              </c:strCache>
            </c:strRef>
          </c:cat>
          <c:val>
            <c:numRef>
              <c:f>'DIGITAL ADDS'!$C$5:$C$12</c:f>
              <c:numCache>
                <c:formatCode>_ [$₹-4009]\ * #,##0.00_ ;_ [$₹-4009]\ * \-#,##0.00_ ;_ [$₹-4009]\ * "-"??_ ;_ @_ </c:formatCode>
                <c:ptCount val="7"/>
                <c:pt idx="4">
                  <c:v>43419</c:v>
                </c:pt>
              </c:numCache>
            </c:numRef>
          </c:val>
          <c:extLst>
            <c:ext xmlns:c16="http://schemas.microsoft.com/office/drawing/2014/chart" uri="{C3380CC4-5D6E-409C-BE32-E72D297353CC}">
              <c16:uniqueId val="{00000006-94B9-4E51-8745-0C70F092DF95}"/>
            </c:ext>
          </c:extLst>
        </c:ser>
        <c:ser>
          <c:idx val="2"/>
          <c:order val="2"/>
          <c:tx>
            <c:strRef>
              <c:f>'DIGITAL ADDS'!$D$3:$D$4</c:f>
              <c:strCache>
                <c:ptCount val="1"/>
                <c:pt idx="0">
                  <c:v>Singapore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'DIGITAL ADDS'!$A$5:$A$12</c:f>
              <c:strCache>
                <c:ptCount val="7"/>
                <c:pt idx="0">
                  <c:v>2023-02-01</c:v>
                </c:pt>
                <c:pt idx="1">
                  <c:v>2023-09-01</c:v>
                </c:pt>
                <c:pt idx="2">
                  <c:v>2023-12-01</c:v>
                </c:pt>
                <c:pt idx="3">
                  <c:v>2024-09-01</c:v>
                </c:pt>
                <c:pt idx="4">
                  <c:v>2024-10-01</c:v>
                </c:pt>
                <c:pt idx="5">
                  <c:v>2025-03-01</c:v>
                </c:pt>
                <c:pt idx="6">
                  <c:v>2025-10-01</c:v>
                </c:pt>
              </c:strCache>
            </c:strRef>
          </c:cat>
          <c:val>
            <c:numRef>
              <c:f>'DIGITAL ADDS'!$D$5:$D$12</c:f>
              <c:numCache>
                <c:formatCode>_ [$₹-4009]\ * #,##0.00_ ;_ [$₹-4009]\ * \-#,##0.00_ ;_ [$₹-4009]\ * "-"??_ ;_ @_ </c:formatCode>
                <c:ptCount val="7"/>
                <c:pt idx="3">
                  <c:v>26910</c:v>
                </c:pt>
                <c:pt idx="5">
                  <c:v>35707</c:v>
                </c:pt>
              </c:numCache>
            </c:numRef>
          </c:val>
          <c:extLst>
            <c:ext xmlns:c16="http://schemas.microsoft.com/office/drawing/2014/chart" uri="{C3380CC4-5D6E-409C-BE32-E72D297353CC}">
              <c16:uniqueId val="{00000007-94B9-4E51-8745-0C70F092DF95}"/>
            </c:ext>
          </c:extLst>
        </c:ser>
        <c:ser>
          <c:idx val="3"/>
          <c:order val="3"/>
          <c:tx>
            <c:strRef>
              <c:f>'DIGITAL ADDS'!$E$3:$E$4</c:f>
              <c:strCache>
                <c:ptCount val="1"/>
                <c:pt idx="0">
                  <c:v>UK</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'DIGITAL ADDS'!$A$5:$A$12</c:f>
              <c:strCache>
                <c:ptCount val="7"/>
                <c:pt idx="0">
                  <c:v>2023-02-01</c:v>
                </c:pt>
                <c:pt idx="1">
                  <c:v>2023-09-01</c:v>
                </c:pt>
                <c:pt idx="2">
                  <c:v>2023-12-01</c:v>
                </c:pt>
                <c:pt idx="3">
                  <c:v>2024-09-01</c:v>
                </c:pt>
                <c:pt idx="4">
                  <c:v>2024-10-01</c:v>
                </c:pt>
                <c:pt idx="5">
                  <c:v>2025-03-01</c:v>
                </c:pt>
                <c:pt idx="6">
                  <c:v>2025-10-01</c:v>
                </c:pt>
              </c:strCache>
            </c:strRef>
          </c:cat>
          <c:val>
            <c:numRef>
              <c:f>'DIGITAL ADDS'!$E$5:$E$12</c:f>
              <c:numCache>
                <c:formatCode>_ [$₹-4009]\ * #,##0.00_ ;_ [$₹-4009]\ * \-#,##0.00_ ;_ [$₹-4009]\ * "-"??_ ;_ @_ </c:formatCode>
                <c:ptCount val="7"/>
                <c:pt idx="1">
                  <c:v>140923</c:v>
                </c:pt>
                <c:pt idx="2">
                  <c:v>85697</c:v>
                </c:pt>
              </c:numCache>
            </c:numRef>
          </c:val>
          <c:extLst>
            <c:ext xmlns:c16="http://schemas.microsoft.com/office/drawing/2014/chart" uri="{C3380CC4-5D6E-409C-BE32-E72D297353CC}">
              <c16:uniqueId val="{00000008-94B9-4E51-8745-0C70F092DF95}"/>
            </c:ext>
          </c:extLst>
        </c:ser>
        <c:ser>
          <c:idx val="4"/>
          <c:order val="4"/>
          <c:tx>
            <c:strRef>
              <c:f>'DIGITAL ADDS'!$F$3:$F$4</c:f>
              <c:strCache>
                <c:ptCount val="1"/>
                <c:pt idx="0">
                  <c:v>USA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'DIGITAL ADDS'!$A$5:$A$12</c:f>
              <c:strCache>
                <c:ptCount val="7"/>
                <c:pt idx="0">
                  <c:v>2023-02-01</c:v>
                </c:pt>
                <c:pt idx="1">
                  <c:v>2023-09-01</c:v>
                </c:pt>
                <c:pt idx="2">
                  <c:v>2023-12-01</c:v>
                </c:pt>
                <c:pt idx="3">
                  <c:v>2024-09-01</c:v>
                </c:pt>
                <c:pt idx="4">
                  <c:v>2024-10-01</c:v>
                </c:pt>
                <c:pt idx="5">
                  <c:v>2025-03-01</c:v>
                </c:pt>
                <c:pt idx="6">
                  <c:v>2025-10-01</c:v>
                </c:pt>
              </c:strCache>
            </c:strRef>
          </c:cat>
          <c:val>
            <c:numRef>
              <c:f>'DIGITAL ADDS'!$F$5:$F$12</c:f>
              <c:numCache>
                <c:formatCode>_ [$₹-4009]\ * #,##0.00_ ;_ [$₹-4009]\ * \-#,##0.00_ ;_ [$₹-4009]\ * "-"??_ ;_ @_ </c:formatCode>
                <c:ptCount val="7"/>
                <c:pt idx="6">
                  <c:v>70859</c:v>
                </c:pt>
              </c:numCache>
            </c:numRef>
          </c:val>
          <c:extLst>
            <c:ext xmlns:c16="http://schemas.microsoft.com/office/drawing/2014/chart" uri="{C3380CC4-5D6E-409C-BE32-E72D297353CC}">
              <c16:uniqueId val="{00000009-94B9-4E51-8745-0C70F092DF95}"/>
            </c:ext>
          </c:extLst>
        </c:ser>
        <c:dLbls>
          <c:showLegendKey val="0"/>
          <c:showVal val="0"/>
          <c:showCatName val="0"/>
          <c:showSerName val="0"/>
          <c:showPercent val="0"/>
          <c:showBubbleSize val="0"/>
        </c:dLbls>
        <c:gapWidth val="150"/>
        <c:shape val="box"/>
        <c:axId val="1573031104"/>
        <c:axId val="1573031584"/>
        <c:axId val="0"/>
      </c:bar3DChart>
      <c:catAx>
        <c:axId val="1573031104"/>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573031584"/>
        <c:crosses val="autoZero"/>
        <c:auto val="1"/>
        <c:lblAlgn val="ctr"/>
        <c:lblOffset val="100"/>
        <c:noMultiLvlLbl val="0"/>
      </c:catAx>
      <c:valAx>
        <c:axId val="1573031584"/>
        <c:scaling>
          <c:orientation val="minMax"/>
        </c:scaling>
        <c:delete val="0"/>
        <c:axPos val="b"/>
        <c:majorGridlines>
          <c:spPr>
            <a:ln w="9525" cap="flat" cmpd="sng" algn="ctr">
              <a:solidFill>
                <a:schemeClr val="tx2">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5730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[chitale_haldiram_marketing_2023_2025.xlsx]INFLUENCER Pivot!PivotTable5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Influencer </a:t>
            </a:r>
          </a:p>
        </c:rich>
      </c:tx>
      <c:layout>
        <c:manualLayout>
          <c:xMode val="edge"/>
          <c:yMode val="edge"/>
          <c:x val="0.49675142921863402"/>
          <c:y val="0.1034343757066180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938412956155678E-2"/>
          <c:y val="0.21641540393628822"/>
          <c:w val="0.68762607289519662"/>
          <c:h val="0.67127272706377006"/>
        </c:manualLayout>
      </c:layout>
      <c:pie3DChart>
        <c:varyColors val="1"/>
        <c:ser>
          <c:idx val="0"/>
          <c:order val="0"/>
          <c:tx>
            <c:strRef>
              <c:f>'INFLUENCER 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60BD-469B-9BC6-F95AD5E82FC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60BD-469B-9BC6-F95AD5E82FC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60BD-469B-9BC6-F95AD5E82FCB}"/>
              </c:ext>
            </c:extLst>
          </c:dPt>
          <c:cat>
            <c:multiLvlStrRef>
              <c:f>'INFLUENCER Pivot'!$A$4:$A$13</c:f>
              <c:multiLvlStrCache>
                <c:ptCount val="3"/>
                <c:lvl>
                  <c:pt idx="0">
                    <c:v>UAE</c:v>
                  </c:pt>
                  <c:pt idx="1">
                    <c:v>UK</c:v>
                  </c:pt>
                  <c:pt idx="2">
                    <c:v>India</c:v>
                  </c:pt>
                </c:lvl>
                <c:lvl>
                  <c:pt idx="0">
                    <c:v>Influencer Nov 2023 Campaign</c:v>
                  </c:pt>
                  <c:pt idx="1">
                    <c:v>Influencer Jan 2025 Campaign</c:v>
                  </c:pt>
                  <c:pt idx="2">
                    <c:v>Influencer Jul 2025 Campaign</c:v>
                  </c:pt>
                </c:lvl>
                <c:lvl>
                  <c:pt idx="0">
                    <c:v>2023-11-01</c:v>
                  </c:pt>
                  <c:pt idx="1">
                    <c:v>2025-01-01</c:v>
                  </c:pt>
                  <c:pt idx="2">
                    <c:v>2025-07-01</c:v>
                  </c:pt>
                </c:lvl>
              </c:multiLvlStrCache>
            </c:multiLvlStrRef>
          </c:cat>
          <c:val>
            <c:numRef>
              <c:f>'INFLUENCER Pivot'!$B$4:$B$13</c:f>
              <c:numCache>
                <c:formatCode>_ [$₹-4009]\ * #,##0.00_ ;_ [$₹-4009]\ * \-#,##0.00_ ;_ [$₹-4009]\ * "-"??_ ;_ @_ </c:formatCode>
                <c:ptCount val="3"/>
                <c:pt idx="0">
                  <c:v>129109</c:v>
                </c:pt>
                <c:pt idx="1">
                  <c:v>63585</c:v>
                </c:pt>
                <c:pt idx="2">
                  <c:v>59353</c:v>
                </c:pt>
              </c:numCache>
            </c:numRef>
          </c:val>
          <c:extLst>
            <c:ext xmlns:c16="http://schemas.microsoft.com/office/drawing/2014/chart" uri="{C3380CC4-5D6E-409C-BE32-E72D297353CC}">
              <c16:uniqueId val="{00000006-60BD-469B-9BC6-F95AD5E82F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[chitale_haldiram_marketing_2023_2025.xlsx]EVENT CAMPING !PivotTable6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Event Camping</a:t>
            </a:r>
          </a:p>
        </c:rich>
      </c:tx>
      <c:layout>
        <c:manualLayout>
          <c:xMode val="edge"/>
          <c:yMode val="edge"/>
          <c:x val="0.29509711286089241"/>
          <c:y val="9.7681552955320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ofPieChart>
        <c:ofPieType val="pie"/>
        <c:varyColors val="1"/>
        <c:ser>
          <c:idx val="0"/>
          <c:order val="0"/>
          <c:tx>
            <c:strRef>
              <c:f>'EVENT CAMPING '!$B$3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B57-46A8-8447-2EE99C62D68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B57-46A8-8447-2EE99C62D686}"/>
              </c:ext>
            </c:extLst>
          </c:dPt>
          <c:cat>
            <c:multiLvlStrRef>
              <c:f>'EVENT CAMPING '!$A$4:$A$6</c:f>
              <c:multiLvlStrCache>
                <c:ptCount val="1"/>
                <c:lvl>
                  <c:pt idx="0">
                    <c:v>Maharashtra</c:v>
                  </c:pt>
                </c:lvl>
                <c:lvl>
                  <c:pt idx="0">
                    <c:v>2024-02-01</c:v>
                  </c:pt>
                </c:lvl>
              </c:multiLvlStrCache>
            </c:multiLvlStrRef>
          </c:cat>
          <c:val>
            <c:numRef>
              <c:f>'EVENT CAMPING '!$B$4:$B$6</c:f>
              <c:numCache>
                <c:formatCode>_ [$₹-4009]\ * #,##0.00_ ;_ [$₹-4009]\ * \-#,##0.00_ ;_ [$₹-4009]\ * "-"??_ ;_ @_ </c:formatCode>
                <c:ptCount val="1"/>
                <c:pt idx="0">
                  <c:v>102798</c:v>
                </c:pt>
              </c:numCache>
            </c:numRef>
          </c:val>
          <c:extLst>
            <c:ext xmlns:c16="http://schemas.microsoft.com/office/drawing/2014/chart" uri="{C3380CC4-5D6E-409C-BE32-E72D297353CC}">
              <c16:uniqueId val="{00000004-7B57-46A8-8447-2EE99C62D686}"/>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[chitale_haldiram_marketing_2023_2025.xlsx]PRINT PIVOT!PivotTable7</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a:t>Print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'PRINT 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ECD-439C-B4C4-D00A3F2D4D9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ECD-439C-B4C4-D00A3F2D4D9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ECD-439C-B4C4-D00A3F2D4D9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ECD-439C-B4C4-D00A3F2D4D9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BECD-439C-B4C4-D00A3F2D4D9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BECD-439C-B4C4-D00A3F2D4D9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BECD-439C-B4C4-D00A3F2D4D9F}"/>
              </c:ext>
            </c:extLst>
          </c:dPt>
          <c:cat>
            <c:multiLvlStrRef>
              <c:f>'PRINT PIVOT'!$A$4:$A$18</c:f>
              <c:multiLvlStrCache>
                <c:ptCount val="7"/>
                <c:lvl>
                  <c:pt idx="0">
                    <c:v>USA</c:v>
                  </c:pt>
                  <c:pt idx="1">
                    <c:v>India</c:v>
                  </c:pt>
                  <c:pt idx="2">
                    <c:v>USA</c:v>
                  </c:pt>
                  <c:pt idx="3">
                    <c:v>Singapore</c:v>
                  </c:pt>
                  <c:pt idx="4">
                    <c:v>USA</c:v>
                  </c:pt>
                  <c:pt idx="5">
                    <c:v>UK</c:v>
                  </c:pt>
                  <c:pt idx="6">
                    <c:v>UAE</c:v>
                  </c:pt>
                </c:lvl>
                <c:lvl>
                  <c:pt idx="0">
                    <c:v>2023-04-01</c:v>
                  </c:pt>
                  <c:pt idx="1">
                    <c:v>2023-08-01</c:v>
                  </c:pt>
                  <c:pt idx="2">
                    <c:v>2024-03-01</c:v>
                  </c:pt>
                  <c:pt idx="3">
                    <c:v>2024-06-01</c:v>
                  </c:pt>
                  <c:pt idx="4">
                    <c:v>2024-11-01</c:v>
                  </c:pt>
                  <c:pt idx="5">
                    <c:v>2025-02-01</c:v>
                  </c:pt>
                  <c:pt idx="6">
                    <c:v>2025-09-01</c:v>
                  </c:pt>
                </c:lvl>
              </c:multiLvlStrCache>
            </c:multiLvlStrRef>
          </c:cat>
          <c:val>
            <c:numRef>
              <c:f>'PRINT PIVOT'!$B$4:$B$18</c:f>
              <c:numCache>
                <c:formatCode>_ [$₹-4009]\ * #,##0.00_ ;_ [$₹-4009]\ * \-#,##0.00_ ;_ [$₹-4009]\ * "-"??_ ;_ @_ </c:formatCode>
                <c:ptCount val="7"/>
                <c:pt idx="0">
                  <c:v>103104</c:v>
                </c:pt>
                <c:pt idx="1">
                  <c:v>128859</c:v>
                </c:pt>
                <c:pt idx="2">
                  <c:v>125512</c:v>
                </c:pt>
                <c:pt idx="3">
                  <c:v>28392</c:v>
                </c:pt>
                <c:pt idx="4">
                  <c:v>130687</c:v>
                </c:pt>
                <c:pt idx="5">
                  <c:v>132235</c:v>
                </c:pt>
                <c:pt idx="6">
                  <c:v>20854</c:v>
                </c:pt>
              </c:numCache>
            </c:numRef>
          </c:val>
          <c:extLst>
            <c:ext xmlns:c16="http://schemas.microsoft.com/office/drawing/2014/chart" uri="{C3380CC4-5D6E-409C-BE32-E72D297353CC}">
              <c16:uniqueId val="{0000000E-BECD-439C-B4C4-D00A3F2D4D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[chitale_haldiram_marketing_2023_2025.xlsx]RADIO Pivot!PivotTable8</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Radio</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'RADIO 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30F-4135-9458-1082EC9566B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30F-4135-9458-1082EC9566B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30F-4135-9458-1082EC9566B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730F-4135-9458-1082EC9566B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730F-4135-9458-1082EC9566B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730F-4135-9458-1082EC9566B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730F-4135-9458-1082EC9566B4}"/>
              </c:ext>
            </c:extLst>
          </c:dPt>
          <c:cat>
            <c:multiLvlStrRef>
              <c:f>'RADIO Pivot'!$A$4:$A$18</c:f>
              <c:multiLvlStrCache>
                <c:ptCount val="7"/>
                <c:lvl>
                  <c:pt idx="0">
                    <c:v>UK</c:v>
                  </c:pt>
                  <c:pt idx="1">
                    <c:v>UAE</c:v>
                  </c:pt>
                  <c:pt idx="2">
                    <c:v>Delhi NCR</c:v>
                  </c:pt>
                  <c:pt idx="3">
                    <c:v>UAE</c:v>
                  </c:pt>
                  <c:pt idx="4">
                    <c:v>UAE</c:v>
                  </c:pt>
                  <c:pt idx="5">
                    <c:v>Delhi NCR</c:v>
                  </c:pt>
                  <c:pt idx="6">
                    <c:v>Delhi NCR</c:v>
                  </c:pt>
                </c:lvl>
                <c:lvl>
                  <c:pt idx="0">
                    <c:v>2023-01-01</c:v>
                  </c:pt>
                  <c:pt idx="1">
                    <c:v>2023-06-01</c:v>
                  </c:pt>
                  <c:pt idx="2">
                    <c:v>2023-10-01</c:v>
                  </c:pt>
                  <c:pt idx="3">
                    <c:v>2024-01-01</c:v>
                  </c:pt>
                  <c:pt idx="4">
                    <c:v>2024-07-01</c:v>
                  </c:pt>
                  <c:pt idx="5">
                    <c:v>2024-12-01</c:v>
                  </c:pt>
                  <c:pt idx="6">
                    <c:v>2025-06-01</c:v>
                  </c:pt>
                </c:lvl>
              </c:multiLvlStrCache>
            </c:multiLvlStrRef>
          </c:cat>
          <c:val>
            <c:numRef>
              <c:f>'RADIO Pivot'!$B$4:$B$18</c:f>
              <c:numCache>
                <c:formatCode>_ [$₹-4009]\ * #,##0.00_ ;_ [$₹-4009]\ * \-#,##0.00_ ;_ [$₹-4009]\ * "-"??_ ;_ @_ </c:formatCode>
                <c:ptCount val="7"/>
                <c:pt idx="0">
                  <c:v>20860</c:v>
                </c:pt>
                <c:pt idx="1">
                  <c:v>149981</c:v>
                </c:pt>
                <c:pt idx="2">
                  <c:v>100077</c:v>
                </c:pt>
                <c:pt idx="3">
                  <c:v>146678</c:v>
                </c:pt>
                <c:pt idx="4">
                  <c:v>99575</c:v>
                </c:pt>
                <c:pt idx="5">
                  <c:v>139324</c:v>
                </c:pt>
                <c:pt idx="6">
                  <c:v>113557</c:v>
                </c:pt>
              </c:numCache>
            </c:numRef>
          </c:val>
          <c:extLst>
            <c:ext xmlns:c16="http://schemas.microsoft.com/office/drawing/2014/chart" uri="{C3380CC4-5D6E-409C-BE32-E72D297353CC}">
              <c16:uniqueId val="{0000000E-730F-4135-9458-1082EC9566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[chitale_haldiram_marketing_2023_2025.xlsx]SOCIAL MEDIA!PivotTable9</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Social Media</a:t>
            </a:r>
          </a:p>
        </c:rich>
      </c:tx>
      <c:layout>
        <c:manualLayout>
          <c:xMode val="edge"/>
          <c:yMode val="edge"/>
          <c:x val="0.43978455818022755"/>
          <c:y val="0.133238553514144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ofPieChart>
        <c:ofPieType val="bar"/>
        <c:varyColors val="1"/>
        <c:ser>
          <c:idx val="0"/>
          <c:order val="0"/>
          <c:tx>
            <c:strRef>
              <c:f>'SOCIAL MEDIA'!$B$3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55F-4502-8749-30444A4B03E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55F-4502-8749-30444A4B03E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55F-4502-8749-30444A4B03E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55F-4502-8749-30444A4B03E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A55F-4502-8749-30444A4B03E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A55F-4502-8749-30444A4B03E4}"/>
              </c:ext>
            </c:extLst>
          </c:dPt>
          <c:cat>
            <c:multiLvlStrRef>
              <c:f>'SOCIAL MEDIA'!$A$4:$A$14</c:f>
              <c:multiLvlStrCache>
                <c:ptCount val="5"/>
                <c:lvl>
                  <c:pt idx="0">
                    <c:v>UAE</c:v>
                  </c:pt>
                  <c:pt idx="1">
                    <c:v>Delhi NCR</c:v>
                  </c:pt>
                  <c:pt idx="2">
                    <c:v>India</c:v>
                  </c:pt>
                  <c:pt idx="3">
                    <c:v>UAE</c:v>
                  </c:pt>
                  <c:pt idx="4">
                    <c:v>India</c:v>
                  </c:pt>
                </c:lvl>
                <c:lvl>
                  <c:pt idx="0">
                    <c:v>2023-03-01</c:v>
                  </c:pt>
                  <c:pt idx="1">
                    <c:v>2024-05-01</c:v>
                  </c:pt>
                  <c:pt idx="2">
                    <c:v>2024-08-01</c:v>
                  </c:pt>
                  <c:pt idx="3">
                    <c:v>2025-04-01</c:v>
                  </c:pt>
                  <c:pt idx="4">
                    <c:v>2025-05-01</c:v>
                  </c:pt>
                </c:lvl>
              </c:multiLvlStrCache>
            </c:multiLvlStrRef>
          </c:cat>
          <c:val>
            <c:numRef>
              <c:f>'SOCIAL MEDIA'!$B$4:$B$14</c:f>
              <c:numCache>
                <c:formatCode>_ [$₹-4009]\ * #,##0.00_ ;_ [$₹-4009]\ * \-#,##0.00_ ;_ [$₹-4009]\ * "-"??_ ;_ @_ </c:formatCode>
                <c:ptCount val="5"/>
                <c:pt idx="0">
                  <c:v>84820</c:v>
                </c:pt>
                <c:pt idx="1">
                  <c:v>149312</c:v>
                </c:pt>
                <c:pt idx="2">
                  <c:v>118018</c:v>
                </c:pt>
                <c:pt idx="3">
                  <c:v>26776</c:v>
                </c:pt>
                <c:pt idx="4">
                  <c:v>139101</c:v>
                </c:pt>
              </c:numCache>
            </c:numRef>
          </c:val>
          <c:extLst>
            <c:ext xmlns:c16="http://schemas.microsoft.com/office/drawing/2014/chart" uri="{C3380CC4-5D6E-409C-BE32-E72D297353CC}">
              <c16:uniqueId val="{0000000C-A55F-4502-8749-30444A4B03E4}"/>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[chitale_haldiram_marketing_2023_2025.xlsx]TV!PivotTable10</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TV Adds</a:t>
            </a:r>
          </a:p>
        </c:rich>
      </c:tx>
      <c:layout>
        <c:manualLayout>
          <c:xMode val="edge"/>
          <c:yMode val="edge"/>
          <c:x val="0.44053468231502707"/>
          <c:y val="7.13460514909153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TV!$B$3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TV!$A$4:$A$12</c:f>
              <c:multiLvlStrCache>
                <c:ptCount val="4"/>
                <c:lvl>
                  <c:pt idx="0">
                    <c:v>Delhi NCR</c:v>
                  </c:pt>
                  <c:pt idx="1">
                    <c:v>Delhi NCR</c:v>
                  </c:pt>
                  <c:pt idx="2">
                    <c:v>India</c:v>
                  </c:pt>
                  <c:pt idx="3">
                    <c:v>USA</c:v>
                  </c:pt>
                </c:lvl>
                <c:lvl>
                  <c:pt idx="0">
                    <c:v>2023-05-01</c:v>
                  </c:pt>
                  <c:pt idx="1">
                    <c:v>2023-07-01</c:v>
                  </c:pt>
                  <c:pt idx="2">
                    <c:v>2024-04-01</c:v>
                  </c:pt>
                  <c:pt idx="3">
                    <c:v>2025-08-01</c:v>
                  </c:pt>
                </c:lvl>
              </c:multiLvlStrCache>
            </c:multiLvlStrRef>
          </c:cat>
          <c:val>
            <c:numRef>
              <c:f>TV!$B$4:$B$12</c:f>
              <c:numCache>
                <c:formatCode>_ [$₹-4009]\ * #,##0.00_ ;_ [$₹-4009]\ * \-#,##0.00_ ;_ [$₹-4009]\ * "-"??_ ;_ @_ </c:formatCode>
                <c:ptCount val="4"/>
                <c:pt idx="0">
                  <c:v>45658</c:v>
                </c:pt>
                <c:pt idx="1">
                  <c:v>89092</c:v>
                </c:pt>
                <c:pt idx="2">
                  <c:v>87563</c:v>
                </c:pt>
                <c:pt idx="3">
                  <c:v>105616</c:v>
                </c:pt>
              </c:numCache>
            </c:numRef>
          </c:val>
          <c:smooth val="0"/>
          <c:extLst>
            <c:ext xmlns:c16="http://schemas.microsoft.com/office/drawing/2014/chart" uri="{C3380CC4-5D6E-409C-BE32-E72D297353CC}">
              <c16:uniqueId val="{00000000-DEDB-47C6-BE59-D7485A9934AC}"/>
            </c:ext>
          </c:extLst>
        </c:ser>
        <c:dLbls>
          <c:showLegendKey val="0"/>
          <c:showVal val="0"/>
          <c:showCatName val="0"/>
          <c:showSerName val="0"/>
          <c:showPercent val="0"/>
          <c:showBubbleSize val="0"/>
        </c:dLbls>
        <c:marker val="1"/>
        <c:smooth val="0"/>
        <c:axId val="1639009936"/>
        <c:axId val="1639009456"/>
      </c:lineChart>
      <c:catAx>
        <c:axId val="16390099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639009456"/>
        <c:crosses val="autoZero"/>
        <c:auto val="1"/>
        <c:lblAlgn val="ctr"/>
        <c:lblOffset val="100"/>
        <c:noMultiLvlLbl val="0"/>
      </c:catAx>
      <c:valAx>
        <c:axId val="1639009456"/>
        <c:scaling>
          <c:orientation val="minMax"/>
        </c:scaling>
        <c:delete val="0"/>
        <c:axPos val="l"/>
        <c:majorGridlines>
          <c:spPr>
            <a:ln w="9525" cap="flat" cmpd="sng" algn="ctr">
              <a:solidFill>
                <a:schemeClr val="tx2">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63900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34889</xdr:colOff>
      <xdr:row>8</xdr:row>
      <xdr:rowOff>82342</xdr:rowOff>
    </xdr:from>
    <xdr:to>
      <xdr:col>16</xdr:col>
      <xdr:colOff>221901</xdr:colOff>
      <xdr:row>31</xdr:row>
      <xdr:rowOff>23726</xdr:rowOff>
    </xdr:to>
    <xdr:graphicFrame macro="">
      <xdr:nvGraphicFramePr>
        <xdr:cNvPr id="3" name="Chart 2">
          <a:extLst>
            <a:ext uri="{FF2B5EF4-FFF2-40B4-BE49-F238E27FC236}">
              <a16:creationId xmlns:a16="http://schemas.microsoft.com/office/drawing/2014/main" id="{046986F3-0303-44E5-95A6-AFC4D533B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77736</xdr:colOff>
      <xdr:row>9</xdr:row>
      <xdr:rowOff>280</xdr:rowOff>
    </xdr:from>
    <xdr:to>
      <xdr:col>30</xdr:col>
      <xdr:colOff>491394</xdr:colOff>
      <xdr:row>31</xdr:row>
      <xdr:rowOff>49125</xdr:rowOff>
    </xdr:to>
    <xdr:graphicFrame macro="">
      <xdr:nvGraphicFramePr>
        <xdr:cNvPr id="5" name="Chart 4">
          <a:extLst>
            <a:ext uri="{FF2B5EF4-FFF2-40B4-BE49-F238E27FC236}">
              <a16:creationId xmlns:a16="http://schemas.microsoft.com/office/drawing/2014/main" id="{8C8D63D9-1CA9-4E36-8FE8-50EE9F5E7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486647</xdr:colOff>
      <xdr:row>8</xdr:row>
      <xdr:rowOff>42147</xdr:rowOff>
    </xdr:from>
    <xdr:to>
      <xdr:col>47</xdr:col>
      <xdr:colOff>296147</xdr:colOff>
      <xdr:row>30</xdr:row>
      <xdr:rowOff>4047</xdr:rowOff>
    </xdr:to>
    <xdr:graphicFrame macro="">
      <xdr:nvGraphicFramePr>
        <xdr:cNvPr id="6" name="Chart 5">
          <a:extLst>
            <a:ext uri="{FF2B5EF4-FFF2-40B4-BE49-F238E27FC236}">
              <a16:creationId xmlns:a16="http://schemas.microsoft.com/office/drawing/2014/main" id="{02E16B21-C4C1-4A9C-9B44-A432D7A4A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108856</xdr:colOff>
      <xdr:row>37</xdr:row>
      <xdr:rowOff>127001</xdr:rowOff>
    </xdr:from>
    <xdr:to>
      <xdr:col>16</xdr:col>
      <xdr:colOff>347504</xdr:colOff>
      <xdr:row>62</xdr:row>
      <xdr:rowOff>90714</xdr:rowOff>
    </xdr:to>
    <xdr:graphicFrame macro="">
      <xdr:nvGraphicFramePr>
        <xdr:cNvPr id="7" name="Chart 6">
          <a:extLst>
            <a:ext uri="{FF2B5EF4-FFF2-40B4-BE49-F238E27FC236}">
              <a16:creationId xmlns:a16="http://schemas.microsoft.com/office/drawing/2014/main" id="{099F38D3-C705-4D96-9F22-32E1B78D8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125743</xdr:colOff>
      <xdr:row>36</xdr:row>
      <xdr:rowOff>165934</xdr:rowOff>
    </xdr:from>
    <xdr:to>
      <xdr:col>31</xdr:col>
      <xdr:colOff>54429</xdr:colOff>
      <xdr:row>62</xdr:row>
      <xdr:rowOff>54427</xdr:rowOff>
    </xdr:to>
    <xdr:graphicFrame macro="">
      <xdr:nvGraphicFramePr>
        <xdr:cNvPr id="8" name="Chart 7">
          <a:extLst>
            <a:ext uri="{FF2B5EF4-FFF2-40B4-BE49-F238E27FC236}">
              <a16:creationId xmlns:a16="http://schemas.microsoft.com/office/drawing/2014/main" id="{0B854797-BF42-48E9-A80B-28B2C08AA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508001</xdr:colOff>
      <xdr:row>36</xdr:row>
      <xdr:rowOff>132722</xdr:rowOff>
    </xdr:from>
    <xdr:to>
      <xdr:col>47</xdr:col>
      <xdr:colOff>447710</xdr:colOff>
      <xdr:row>61</xdr:row>
      <xdr:rowOff>163286</xdr:rowOff>
    </xdr:to>
    <xdr:graphicFrame macro="">
      <xdr:nvGraphicFramePr>
        <xdr:cNvPr id="9" name="Chart 8">
          <a:extLst>
            <a:ext uri="{FF2B5EF4-FFF2-40B4-BE49-F238E27FC236}">
              <a16:creationId xmlns:a16="http://schemas.microsoft.com/office/drawing/2014/main" id="{E743A583-AF34-4251-8E29-9CD2239F5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432637</xdr:colOff>
      <xdr:row>69</xdr:row>
      <xdr:rowOff>57220</xdr:rowOff>
    </xdr:from>
    <xdr:to>
      <xdr:col>30</xdr:col>
      <xdr:colOff>120023</xdr:colOff>
      <xdr:row>87</xdr:row>
      <xdr:rowOff>57219</xdr:rowOff>
    </xdr:to>
    <xdr:graphicFrame macro="">
      <xdr:nvGraphicFramePr>
        <xdr:cNvPr id="10" name="Chart 9">
          <a:extLst>
            <a:ext uri="{FF2B5EF4-FFF2-40B4-BE49-F238E27FC236}">
              <a16:creationId xmlns:a16="http://schemas.microsoft.com/office/drawing/2014/main" id="{0DF403A5-15BF-4432-BC19-47C5146C9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453571</xdr:colOff>
      <xdr:row>9</xdr:row>
      <xdr:rowOff>127001</xdr:rowOff>
    </xdr:from>
    <xdr:to>
      <xdr:col>4</xdr:col>
      <xdr:colOff>65592</xdr:colOff>
      <xdr:row>28</xdr:row>
      <xdr:rowOff>72572</xdr:rowOff>
    </xdr:to>
    <mc:AlternateContent xmlns:mc="http://schemas.openxmlformats.org/markup-compatibility/2006" xmlns:a14="http://schemas.microsoft.com/office/drawing/2010/main">
      <mc:Choice Requires="a14">
        <xdr:graphicFrame macro="">
          <xdr:nvGraphicFramePr>
            <xdr:cNvPr id="12" name="Budget_USD 7">
              <a:extLst>
                <a:ext uri="{FF2B5EF4-FFF2-40B4-BE49-F238E27FC236}">
                  <a16:creationId xmlns:a16="http://schemas.microsoft.com/office/drawing/2014/main" id="{AD618D54-BDC2-A2D4-6B61-4FE4C1A0AAE0}"/>
                </a:ext>
              </a:extLst>
            </xdr:cNvPr>
            <xdr:cNvGraphicFramePr/>
          </xdr:nvGraphicFramePr>
          <xdr:xfrm>
            <a:off x="0" y="0"/>
            <a:ext cx="0" cy="0"/>
          </xdr:xfrm>
          <a:graphic>
            <a:graphicData uri="http://schemas.microsoft.com/office/drawing/2010/slicer">
              <sle:slicer xmlns:sle="http://schemas.microsoft.com/office/drawing/2010/slicer" name="Budget_USD 7"/>
            </a:graphicData>
          </a:graphic>
        </xdr:graphicFrame>
      </mc:Choice>
      <mc:Fallback xmlns="">
        <xdr:sp macro="" textlink="">
          <xdr:nvSpPr>
            <xdr:cNvPr id="0" name=""/>
            <xdr:cNvSpPr>
              <a:spLocks noTextEdit="1"/>
            </xdr:cNvSpPr>
          </xdr:nvSpPr>
          <xdr:spPr>
            <a:xfrm>
              <a:off x="453571" y="1759858"/>
              <a:ext cx="2079450" cy="3392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175987</xdr:colOff>
      <xdr:row>10</xdr:row>
      <xdr:rowOff>90715</xdr:rowOff>
    </xdr:from>
    <xdr:to>
      <xdr:col>34</xdr:col>
      <xdr:colOff>453571</xdr:colOff>
      <xdr:row>26</xdr:row>
      <xdr:rowOff>90714</xdr:rowOff>
    </xdr:to>
    <mc:AlternateContent xmlns:mc="http://schemas.openxmlformats.org/markup-compatibility/2006" xmlns:a14="http://schemas.microsoft.com/office/drawing/2010/main">
      <mc:Choice Requires="a14">
        <xdr:graphicFrame macro="">
          <xdr:nvGraphicFramePr>
            <xdr:cNvPr id="13" name="Budget_USD 8">
              <a:extLst>
                <a:ext uri="{FF2B5EF4-FFF2-40B4-BE49-F238E27FC236}">
                  <a16:creationId xmlns:a16="http://schemas.microsoft.com/office/drawing/2014/main" id="{FB44E0C0-FE87-67BF-073B-3D7132FA853E}"/>
                </a:ext>
              </a:extLst>
            </xdr:cNvPr>
            <xdr:cNvGraphicFramePr/>
          </xdr:nvGraphicFramePr>
          <xdr:xfrm>
            <a:off x="0" y="0"/>
            <a:ext cx="0" cy="0"/>
          </xdr:xfrm>
          <a:graphic>
            <a:graphicData uri="http://schemas.microsoft.com/office/drawing/2010/slicer">
              <sle:slicer xmlns:sle="http://schemas.microsoft.com/office/drawing/2010/slicer" name="Budget_USD 8"/>
            </a:graphicData>
          </a:graphic>
        </xdr:graphicFrame>
      </mc:Choice>
      <mc:Fallback xmlns="">
        <xdr:sp macro="" textlink="">
          <xdr:nvSpPr>
            <xdr:cNvPr id="0" name=""/>
            <xdr:cNvSpPr>
              <a:spLocks noTextEdit="1"/>
            </xdr:cNvSpPr>
          </xdr:nvSpPr>
          <xdr:spPr>
            <a:xfrm>
              <a:off x="19298558" y="1905001"/>
              <a:ext cx="2128156" cy="2902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611414</xdr:colOff>
      <xdr:row>8</xdr:row>
      <xdr:rowOff>163285</xdr:rowOff>
    </xdr:from>
    <xdr:to>
      <xdr:col>52</xdr:col>
      <xdr:colOff>145143</xdr:colOff>
      <xdr:row>27</xdr:row>
      <xdr:rowOff>72572</xdr:rowOff>
    </xdr:to>
    <mc:AlternateContent xmlns:mc="http://schemas.openxmlformats.org/markup-compatibility/2006" xmlns:a14="http://schemas.microsoft.com/office/drawing/2010/main">
      <mc:Choice Requires="a14">
        <xdr:graphicFrame macro="">
          <xdr:nvGraphicFramePr>
            <xdr:cNvPr id="14" name="Budget_USD 9">
              <a:extLst>
                <a:ext uri="{FF2B5EF4-FFF2-40B4-BE49-F238E27FC236}">
                  <a16:creationId xmlns:a16="http://schemas.microsoft.com/office/drawing/2014/main" id="{99D854A0-F5B3-A2A8-63FB-506CCF3416AD}"/>
                </a:ext>
              </a:extLst>
            </xdr:cNvPr>
            <xdr:cNvGraphicFramePr/>
          </xdr:nvGraphicFramePr>
          <xdr:xfrm>
            <a:off x="0" y="0"/>
            <a:ext cx="0" cy="0"/>
          </xdr:xfrm>
          <a:graphic>
            <a:graphicData uri="http://schemas.microsoft.com/office/drawing/2010/slicer">
              <sle:slicer xmlns:sle="http://schemas.microsoft.com/office/drawing/2010/slicer" name="Budget_USD 9"/>
            </a:graphicData>
          </a:graphic>
        </xdr:graphicFrame>
      </mc:Choice>
      <mc:Fallback xmlns="">
        <xdr:sp macro="" textlink="">
          <xdr:nvSpPr>
            <xdr:cNvPr id="0" name=""/>
            <xdr:cNvSpPr>
              <a:spLocks noTextEdit="1"/>
            </xdr:cNvSpPr>
          </xdr:nvSpPr>
          <xdr:spPr>
            <a:xfrm>
              <a:off x="29603700" y="1614714"/>
              <a:ext cx="2618014" cy="3356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502557</xdr:colOff>
      <xdr:row>37</xdr:row>
      <xdr:rowOff>36286</xdr:rowOff>
    </xdr:from>
    <xdr:to>
      <xdr:col>4</xdr:col>
      <xdr:colOff>253999</xdr:colOff>
      <xdr:row>61</xdr:row>
      <xdr:rowOff>36286</xdr:rowOff>
    </xdr:to>
    <mc:AlternateContent xmlns:mc="http://schemas.openxmlformats.org/markup-compatibility/2006" xmlns:a14="http://schemas.microsoft.com/office/drawing/2010/main">
      <mc:Choice Requires="a14">
        <xdr:graphicFrame macro="">
          <xdr:nvGraphicFramePr>
            <xdr:cNvPr id="15" name="Budget_USD 10">
              <a:extLst>
                <a:ext uri="{FF2B5EF4-FFF2-40B4-BE49-F238E27FC236}">
                  <a16:creationId xmlns:a16="http://schemas.microsoft.com/office/drawing/2014/main" id="{E5EE8EA6-60AA-0AD3-FED1-AA7EFA49CB62}"/>
                </a:ext>
              </a:extLst>
            </xdr:cNvPr>
            <xdr:cNvGraphicFramePr/>
          </xdr:nvGraphicFramePr>
          <xdr:xfrm>
            <a:off x="0" y="0"/>
            <a:ext cx="0" cy="0"/>
          </xdr:xfrm>
          <a:graphic>
            <a:graphicData uri="http://schemas.microsoft.com/office/drawing/2010/slicer">
              <sle:slicer xmlns:sle="http://schemas.microsoft.com/office/drawing/2010/slicer" name="Budget_USD 10"/>
            </a:graphicData>
          </a:graphic>
        </xdr:graphicFrame>
      </mc:Choice>
      <mc:Fallback xmlns="">
        <xdr:sp macro="" textlink="">
          <xdr:nvSpPr>
            <xdr:cNvPr id="0" name=""/>
            <xdr:cNvSpPr>
              <a:spLocks noTextEdit="1"/>
            </xdr:cNvSpPr>
          </xdr:nvSpPr>
          <xdr:spPr>
            <a:xfrm>
              <a:off x="502557" y="6749143"/>
              <a:ext cx="2218871" cy="4354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375557</xdr:colOff>
      <xdr:row>38</xdr:row>
      <xdr:rowOff>48987</xdr:rowOff>
    </xdr:from>
    <xdr:to>
      <xdr:col>35</xdr:col>
      <xdr:colOff>36285</xdr:colOff>
      <xdr:row>62</xdr:row>
      <xdr:rowOff>90716</xdr:rowOff>
    </xdr:to>
    <mc:AlternateContent xmlns:mc="http://schemas.openxmlformats.org/markup-compatibility/2006" xmlns:a14="http://schemas.microsoft.com/office/drawing/2010/main">
      <mc:Choice Requires="a14">
        <xdr:graphicFrame macro="">
          <xdr:nvGraphicFramePr>
            <xdr:cNvPr id="16" name="Budget_USD 11">
              <a:extLst>
                <a:ext uri="{FF2B5EF4-FFF2-40B4-BE49-F238E27FC236}">
                  <a16:creationId xmlns:a16="http://schemas.microsoft.com/office/drawing/2014/main" id="{6E1E969D-282A-42A6-D738-EB7B03A60A51}"/>
                </a:ext>
              </a:extLst>
            </xdr:cNvPr>
            <xdr:cNvGraphicFramePr/>
          </xdr:nvGraphicFramePr>
          <xdr:xfrm>
            <a:off x="0" y="0"/>
            <a:ext cx="0" cy="0"/>
          </xdr:xfrm>
          <a:graphic>
            <a:graphicData uri="http://schemas.microsoft.com/office/drawing/2010/slicer">
              <sle:slicer xmlns:sle="http://schemas.microsoft.com/office/drawing/2010/slicer" name="Budget_USD 11"/>
            </a:graphicData>
          </a:graphic>
        </xdr:graphicFrame>
      </mc:Choice>
      <mc:Fallback xmlns="">
        <xdr:sp macro="" textlink="">
          <xdr:nvSpPr>
            <xdr:cNvPr id="0" name=""/>
            <xdr:cNvSpPr>
              <a:spLocks noTextEdit="1"/>
            </xdr:cNvSpPr>
          </xdr:nvSpPr>
          <xdr:spPr>
            <a:xfrm>
              <a:off x="19498128" y="6943273"/>
              <a:ext cx="2128157" cy="4396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593271</xdr:colOff>
      <xdr:row>36</xdr:row>
      <xdr:rowOff>139699</xdr:rowOff>
    </xdr:from>
    <xdr:to>
      <xdr:col>52</xdr:col>
      <xdr:colOff>64986</xdr:colOff>
      <xdr:row>60</xdr:row>
      <xdr:rowOff>177414</xdr:rowOff>
    </xdr:to>
    <mc:AlternateContent xmlns:mc="http://schemas.openxmlformats.org/markup-compatibility/2006" xmlns:a14="http://schemas.microsoft.com/office/drawing/2010/main">
      <mc:Choice Requires="a14">
        <xdr:graphicFrame macro="">
          <xdr:nvGraphicFramePr>
            <xdr:cNvPr id="17" name="Budget_USD 12">
              <a:extLst>
                <a:ext uri="{FF2B5EF4-FFF2-40B4-BE49-F238E27FC236}">
                  <a16:creationId xmlns:a16="http://schemas.microsoft.com/office/drawing/2014/main" id="{114CFAE1-425B-4CD6-80FD-606FA8AA34D4}"/>
                </a:ext>
              </a:extLst>
            </xdr:cNvPr>
            <xdr:cNvGraphicFramePr/>
          </xdr:nvGraphicFramePr>
          <xdr:xfrm>
            <a:off x="0" y="0"/>
            <a:ext cx="0" cy="0"/>
          </xdr:xfrm>
          <a:graphic>
            <a:graphicData uri="http://schemas.microsoft.com/office/drawing/2010/slicer">
              <sle:slicer xmlns:sle="http://schemas.microsoft.com/office/drawing/2010/slicer" name="Budget_USD 12"/>
            </a:graphicData>
          </a:graphic>
        </xdr:graphicFrame>
      </mc:Choice>
      <mc:Fallback xmlns="">
        <xdr:sp macro="" textlink="">
          <xdr:nvSpPr>
            <xdr:cNvPr id="0" name=""/>
            <xdr:cNvSpPr>
              <a:spLocks noTextEdit="1"/>
            </xdr:cNvSpPr>
          </xdr:nvSpPr>
          <xdr:spPr>
            <a:xfrm>
              <a:off x="29585557" y="6671128"/>
              <a:ext cx="2556000" cy="43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468616</xdr:colOff>
      <xdr:row>7</xdr:row>
      <xdr:rowOff>118104</xdr:rowOff>
    </xdr:from>
    <xdr:to>
      <xdr:col>13</xdr:col>
      <xdr:colOff>516966</xdr:colOff>
      <xdr:row>24</xdr:row>
      <xdr:rowOff>76914</xdr:rowOff>
    </xdr:to>
    <xdr:graphicFrame macro="">
      <xdr:nvGraphicFramePr>
        <xdr:cNvPr id="3" name="Chart 2">
          <a:extLst>
            <a:ext uri="{FF2B5EF4-FFF2-40B4-BE49-F238E27FC236}">
              <a16:creationId xmlns:a16="http://schemas.microsoft.com/office/drawing/2014/main" id="{3AE8E24A-C7E9-41B1-9D7D-830E2C043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441067</xdr:colOff>
      <xdr:row>7</xdr:row>
      <xdr:rowOff>95249</xdr:rowOff>
    </xdr:from>
    <xdr:to>
      <xdr:col>26</xdr:col>
      <xdr:colOff>444500</xdr:colOff>
      <xdr:row>23</xdr:row>
      <xdr:rowOff>127000</xdr:rowOff>
    </xdr:to>
    <xdr:graphicFrame macro="">
      <xdr:nvGraphicFramePr>
        <xdr:cNvPr id="4" name="Chart 3">
          <a:extLst>
            <a:ext uri="{FF2B5EF4-FFF2-40B4-BE49-F238E27FC236}">
              <a16:creationId xmlns:a16="http://schemas.microsoft.com/office/drawing/2014/main" id="{61EE4DE0-9A51-4413-A3D8-0B05499AB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496218</xdr:colOff>
      <xdr:row>28</xdr:row>
      <xdr:rowOff>87002</xdr:rowOff>
    </xdr:from>
    <xdr:to>
      <xdr:col>13</xdr:col>
      <xdr:colOff>604808</xdr:colOff>
      <xdr:row>45</xdr:row>
      <xdr:rowOff>45813</xdr:rowOff>
    </xdr:to>
    <xdr:graphicFrame macro="">
      <xdr:nvGraphicFramePr>
        <xdr:cNvPr id="5" name="Chart 4">
          <a:extLst>
            <a:ext uri="{FF2B5EF4-FFF2-40B4-BE49-F238E27FC236}">
              <a16:creationId xmlns:a16="http://schemas.microsoft.com/office/drawing/2014/main" id="{A85D4A04-B0A0-4971-88E3-92F5C08C6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411891</xdr:colOff>
      <xdr:row>27</xdr:row>
      <xdr:rowOff>82379</xdr:rowOff>
    </xdr:from>
    <xdr:to>
      <xdr:col>26</xdr:col>
      <xdr:colOff>494270</xdr:colOff>
      <xdr:row>45</xdr:row>
      <xdr:rowOff>41189</xdr:rowOff>
    </xdr:to>
    <xdr:graphicFrame macro="">
      <xdr:nvGraphicFramePr>
        <xdr:cNvPr id="7" name="Chart 6">
          <a:extLst>
            <a:ext uri="{FF2B5EF4-FFF2-40B4-BE49-F238E27FC236}">
              <a16:creationId xmlns:a16="http://schemas.microsoft.com/office/drawing/2014/main" id="{65046404-4314-415D-BEE7-4C8675DC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353216</xdr:colOff>
      <xdr:row>6</xdr:row>
      <xdr:rowOff>62205</xdr:rowOff>
    </xdr:from>
    <xdr:to>
      <xdr:col>43</xdr:col>
      <xdr:colOff>139959</xdr:colOff>
      <xdr:row>24</xdr:row>
      <xdr:rowOff>139959</xdr:rowOff>
    </xdr:to>
    <xdr:graphicFrame macro="">
      <xdr:nvGraphicFramePr>
        <xdr:cNvPr id="8" name="Chart 7">
          <a:extLst>
            <a:ext uri="{FF2B5EF4-FFF2-40B4-BE49-F238E27FC236}">
              <a16:creationId xmlns:a16="http://schemas.microsoft.com/office/drawing/2014/main" id="{01B78C66-F33F-45AE-893E-34DA08DBC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340861</xdr:colOff>
      <xdr:row>28</xdr:row>
      <xdr:rowOff>36143</xdr:rowOff>
    </xdr:from>
    <xdr:to>
      <xdr:col>43</xdr:col>
      <xdr:colOff>31101</xdr:colOff>
      <xdr:row>46</xdr:row>
      <xdr:rowOff>46652</xdr:rowOff>
    </xdr:to>
    <xdr:graphicFrame macro="">
      <xdr:nvGraphicFramePr>
        <xdr:cNvPr id="10" name="Chart 9">
          <a:extLst>
            <a:ext uri="{FF2B5EF4-FFF2-40B4-BE49-F238E27FC236}">
              <a16:creationId xmlns:a16="http://schemas.microsoft.com/office/drawing/2014/main" id="{3B7DCACC-AE71-440C-9E1A-25F871235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537981</xdr:colOff>
      <xdr:row>49</xdr:row>
      <xdr:rowOff>25637</xdr:rowOff>
    </xdr:from>
    <xdr:to>
      <xdr:col>14</xdr:col>
      <xdr:colOff>13869</xdr:colOff>
      <xdr:row>65</xdr:row>
      <xdr:rowOff>74806</xdr:rowOff>
    </xdr:to>
    <xdr:graphicFrame macro="">
      <xdr:nvGraphicFramePr>
        <xdr:cNvPr id="11" name="Chart 10">
          <a:extLst>
            <a:ext uri="{FF2B5EF4-FFF2-40B4-BE49-F238E27FC236}">
              <a16:creationId xmlns:a16="http://schemas.microsoft.com/office/drawing/2014/main" id="{E733BC90-239D-4E1E-B912-24C605E1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246951</xdr:colOff>
      <xdr:row>8</xdr:row>
      <xdr:rowOff>0</xdr:rowOff>
    </xdr:from>
    <xdr:to>
      <xdr:col>3</xdr:col>
      <xdr:colOff>256282</xdr:colOff>
      <xdr:row>23</xdr:row>
      <xdr:rowOff>77755</xdr:rowOff>
    </xdr:to>
    <mc:AlternateContent xmlns:mc="http://schemas.openxmlformats.org/markup-compatibility/2006" xmlns:a14="http://schemas.microsoft.com/office/drawing/2010/main">
      <mc:Choice Requires="a14">
        <xdr:graphicFrame macro="">
          <xdr:nvGraphicFramePr>
            <xdr:cNvPr id="17" name="Budget_USD">
              <a:extLst>
                <a:ext uri="{FF2B5EF4-FFF2-40B4-BE49-F238E27FC236}">
                  <a16:creationId xmlns:a16="http://schemas.microsoft.com/office/drawing/2014/main" id="{187B9152-7F31-F658-9ACD-B2141B74BFB2}"/>
                </a:ext>
              </a:extLst>
            </xdr:cNvPr>
            <xdr:cNvGraphicFramePr/>
          </xdr:nvGraphicFramePr>
          <xdr:xfrm>
            <a:off x="0" y="0"/>
            <a:ext cx="0" cy="0"/>
          </xdr:xfrm>
          <a:graphic>
            <a:graphicData uri="http://schemas.microsoft.com/office/drawing/2010/slicer">
              <sle:slicer xmlns:sle="http://schemas.microsoft.com/office/drawing/2010/slicer" name="Budget_USD"/>
            </a:graphicData>
          </a:graphic>
        </xdr:graphicFrame>
      </mc:Choice>
      <mc:Fallback xmlns="">
        <xdr:sp macro="" textlink="">
          <xdr:nvSpPr>
            <xdr:cNvPr id="0" name=""/>
            <xdr:cNvSpPr>
              <a:spLocks noTextEdit="1"/>
            </xdr:cNvSpPr>
          </xdr:nvSpPr>
          <xdr:spPr>
            <a:xfrm>
              <a:off x="246951" y="1492898"/>
              <a:ext cx="1828800" cy="287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29237</xdr:colOff>
      <xdr:row>7</xdr:row>
      <xdr:rowOff>174949</xdr:rowOff>
    </xdr:from>
    <xdr:to>
      <xdr:col>30</xdr:col>
      <xdr:colOff>38567</xdr:colOff>
      <xdr:row>21</xdr:row>
      <xdr:rowOff>29353</xdr:rowOff>
    </xdr:to>
    <mc:AlternateContent xmlns:mc="http://schemas.openxmlformats.org/markup-compatibility/2006" xmlns:a14="http://schemas.microsoft.com/office/drawing/2010/main">
      <mc:Choice Requires="a14">
        <xdr:graphicFrame macro="">
          <xdr:nvGraphicFramePr>
            <xdr:cNvPr id="18" name="Budget_USD 1">
              <a:extLst>
                <a:ext uri="{FF2B5EF4-FFF2-40B4-BE49-F238E27FC236}">
                  <a16:creationId xmlns:a16="http://schemas.microsoft.com/office/drawing/2014/main" id="{F710249C-E668-08BB-4C1F-4D57FA3547D8}"/>
                </a:ext>
              </a:extLst>
            </xdr:cNvPr>
            <xdr:cNvGraphicFramePr/>
          </xdr:nvGraphicFramePr>
          <xdr:xfrm>
            <a:off x="0" y="0"/>
            <a:ext cx="0" cy="0"/>
          </xdr:xfrm>
          <a:graphic>
            <a:graphicData uri="http://schemas.microsoft.com/office/drawing/2010/slicer">
              <sle:slicer xmlns:sle="http://schemas.microsoft.com/office/drawing/2010/slicer" name="Budget_USD 1"/>
            </a:graphicData>
          </a:graphic>
        </xdr:graphicFrame>
      </mc:Choice>
      <mc:Fallback xmlns="">
        <xdr:sp macro="" textlink="">
          <xdr:nvSpPr>
            <xdr:cNvPr id="0" name=""/>
            <xdr:cNvSpPr>
              <a:spLocks noTextEdit="1"/>
            </xdr:cNvSpPr>
          </xdr:nvSpPr>
          <xdr:spPr>
            <a:xfrm>
              <a:off x="16404461" y="148123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418012</xdr:colOff>
      <xdr:row>6</xdr:row>
      <xdr:rowOff>143847</xdr:rowOff>
    </xdr:from>
    <xdr:to>
      <xdr:col>47</xdr:col>
      <xdr:colOff>217715</xdr:colOff>
      <xdr:row>22</xdr:row>
      <xdr:rowOff>155511</xdr:rowOff>
    </xdr:to>
    <mc:AlternateContent xmlns:mc="http://schemas.openxmlformats.org/markup-compatibility/2006" xmlns:a14="http://schemas.microsoft.com/office/drawing/2010/main">
      <mc:Choice Requires="a14">
        <xdr:graphicFrame macro="">
          <xdr:nvGraphicFramePr>
            <xdr:cNvPr id="19" name="Budget_USD 2">
              <a:extLst>
                <a:ext uri="{FF2B5EF4-FFF2-40B4-BE49-F238E27FC236}">
                  <a16:creationId xmlns:a16="http://schemas.microsoft.com/office/drawing/2014/main" id="{9924BA16-F5EB-9C19-F085-0634F791773B}"/>
                </a:ext>
              </a:extLst>
            </xdr:cNvPr>
            <xdr:cNvGraphicFramePr/>
          </xdr:nvGraphicFramePr>
          <xdr:xfrm>
            <a:off x="0" y="0"/>
            <a:ext cx="0" cy="0"/>
          </xdr:xfrm>
          <a:graphic>
            <a:graphicData uri="http://schemas.microsoft.com/office/drawing/2010/slicer">
              <sle:slicer xmlns:sle="http://schemas.microsoft.com/office/drawing/2010/slicer" name="Budget_USD 2"/>
            </a:graphicData>
          </a:graphic>
        </xdr:graphicFrame>
      </mc:Choice>
      <mc:Fallback xmlns="">
        <xdr:sp macro="" textlink="">
          <xdr:nvSpPr>
            <xdr:cNvPr id="0" name=""/>
            <xdr:cNvSpPr>
              <a:spLocks noTextEdit="1"/>
            </xdr:cNvSpPr>
          </xdr:nvSpPr>
          <xdr:spPr>
            <a:xfrm>
              <a:off x="26497073" y="1263520"/>
              <a:ext cx="2225662" cy="299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122542</xdr:colOff>
      <xdr:row>28</xdr:row>
      <xdr:rowOff>77756</xdr:rowOff>
    </xdr:from>
    <xdr:to>
      <xdr:col>3</xdr:col>
      <xdr:colOff>131873</xdr:colOff>
      <xdr:row>42</xdr:row>
      <xdr:rowOff>138211</xdr:rowOff>
    </xdr:to>
    <mc:AlternateContent xmlns:mc="http://schemas.openxmlformats.org/markup-compatibility/2006" xmlns:a14="http://schemas.microsoft.com/office/drawing/2010/main">
      <mc:Choice Requires="a14">
        <xdr:graphicFrame macro="">
          <xdr:nvGraphicFramePr>
            <xdr:cNvPr id="20" name="Budget_USD 3">
              <a:extLst>
                <a:ext uri="{FF2B5EF4-FFF2-40B4-BE49-F238E27FC236}">
                  <a16:creationId xmlns:a16="http://schemas.microsoft.com/office/drawing/2014/main" id="{985C32CB-00AA-A8CE-492D-22D28EB12FD3}"/>
                </a:ext>
              </a:extLst>
            </xdr:cNvPr>
            <xdr:cNvGraphicFramePr/>
          </xdr:nvGraphicFramePr>
          <xdr:xfrm>
            <a:off x="0" y="0"/>
            <a:ext cx="0" cy="0"/>
          </xdr:xfrm>
          <a:graphic>
            <a:graphicData uri="http://schemas.microsoft.com/office/drawing/2010/slicer">
              <sle:slicer xmlns:sle="http://schemas.microsoft.com/office/drawing/2010/slicer" name="Budget_USD 3"/>
            </a:graphicData>
          </a:graphic>
        </xdr:graphicFrame>
      </mc:Choice>
      <mc:Fallback xmlns="">
        <xdr:sp macro="" textlink="">
          <xdr:nvSpPr>
            <xdr:cNvPr id="0" name=""/>
            <xdr:cNvSpPr>
              <a:spLocks noTextEdit="1"/>
            </xdr:cNvSpPr>
          </xdr:nvSpPr>
          <xdr:spPr>
            <a:xfrm>
              <a:off x="122542" y="5302899"/>
              <a:ext cx="1828800" cy="2673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60338</xdr:colOff>
      <xdr:row>28</xdr:row>
      <xdr:rowOff>97194</xdr:rowOff>
    </xdr:from>
    <xdr:to>
      <xdr:col>30</xdr:col>
      <xdr:colOff>169868</xdr:colOff>
      <xdr:row>41</xdr:row>
      <xdr:rowOff>138210</xdr:rowOff>
    </xdr:to>
    <mc:AlternateContent xmlns:mc="http://schemas.openxmlformats.org/markup-compatibility/2006" xmlns:a14="http://schemas.microsoft.com/office/drawing/2010/main">
      <mc:Choice Requires="a14">
        <xdr:graphicFrame macro="">
          <xdr:nvGraphicFramePr>
            <xdr:cNvPr id="21" name="Budget_USD 4">
              <a:extLst>
                <a:ext uri="{FF2B5EF4-FFF2-40B4-BE49-F238E27FC236}">
                  <a16:creationId xmlns:a16="http://schemas.microsoft.com/office/drawing/2014/main" id="{E99CC555-876D-F6B8-1A49-EFC980B4B739}"/>
                </a:ext>
              </a:extLst>
            </xdr:cNvPr>
            <xdr:cNvGraphicFramePr/>
          </xdr:nvGraphicFramePr>
          <xdr:xfrm>
            <a:off x="0" y="0"/>
            <a:ext cx="0" cy="0"/>
          </xdr:xfrm>
          <a:graphic>
            <a:graphicData uri="http://schemas.microsoft.com/office/drawing/2010/slicer">
              <sle:slicer xmlns:sle="http://schemas.microsoft.com/office/drawing/2010/slicer" name="Budget_USD 4"/>
            </a:graphicData>
          </a:graphic>
        </xdr:graphicFrame>
      </mc:Choice>
      <mc:Fallback xmlns="">
        <xdr:sp macro="" textlink="">
          <xdr:nvSpPr>
            <xdr:cNvPr id="0" name=""/>
            <xdr:cNvSpPr>
              <a:spLocks noTextEdit="1"/>
            </xdr:cNvSpPr>
          </xdr:nvSpPr>
          <xdr:spPr>
            <a:xfrm>
              <a:off x="16435562" y="5322337"/>
              <a:ext cx="19290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324706</xdr:colOff>
      <xdr:row>28</xdr:row>
      <xdr:rowOff>97194</xdr:rowOff>
    </xdr:from>
    <xdr:to>
      <xdr:col>46</xdr:col>
      <xdr:colOff>334036</xdr:colOff>
      <xdr:row>41</xdr:row>
      <xdr:rowOff>138210</xdr:rowOff>
    </xdr:to>
    <mc:AlternateContent xmlns:mc="http://schemas.openxmlformats.org/markup-compatibility/2006" xmlns:a14="http://schemas.microsoft.com/office/drawing/2010/main">
      <mc:Choice Requires="a14">
        <xdr:graphicFrame macro="">
          <xdr:nvGraphicFramePr>
            <xdr:cNvPr id="22" name="Budget_USD 5">
              <a:extLst>
                <a:ext uri="{FF2B5EF4-FFF2-40B4-BE49-F238E27FC236}">
                  <a16:creationId xmlns:a16="http://schemas.microsoft.com/office/drawing/2014/main" id="{3C8D8669-99B9-4F31-0CAF-216675526E00}"/>
                </a:ext>
              </a:extLst>
            </xdr:cNvPr>
            <xdr:cNvGraphicFramePr/>
          </xdr:nvGraphicFramePr>
          <xdr:xfrm>
            <a:off x="0" y="0"/>
            <a:ext cx="0" cy="0"/>
          </xdr:xfrm>
          <a:graphic>
            <a:graphicData uri="http://schemas.microsoft.com/office/drawing/2010/slicer">
              <sle:slicer xmlns:sle="http://schemas.microsoft.com/office/drawing/2010/slicer" name="Budget_USD 5"/>
            </a:graphicData>
          </a:graphic>
        </xdr:graphicFrame>
      </mc:Choice>
      <mc:Fallback xmlns="">
        <xdr:sp macro="" textlink="">
          <xdr:nvSpPr>
            <xdr:cNvPr id="0" name=""/>
            <xdr:cNvSpPr>
              <a:spLocks noTextEdit="1"/>
            </xdr:cNvSpPr>
          </xdr:nvSpPr>
          <xdr:spPr>
            <a:xfrm>
              <a:off x="26403767" y="53223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124408</xdr:colOff>
      <xdr:row>49</xdr:row>
      <xdr:rowOff>1</xdr:rowOff>
    </xdr:from>
    <xdr:to>
      <xdr:col>3</xdr:col>
      <xdr:colOff>133739</xdr:colOff>
      <xdr:row>63</xdr:row>
      <xdr:rowOff>60456</xdr:rowOff>
    </xdr:to>
    <mc:AlternateContent xmlns:mc="http://schemas.openxmlformats.org/markup-compatibility/2006" xmlns:a14="http://schemas.microsoft.com/office/drawing/2010/main">
      <mc:Choice Requires="a14">
        <xdr:graphicFrame macro="">
          <xdr:nvGraphicFramePr>
            <xdr:cNvPr id="23" name="Budget_USD 6">
              <a:extLst>
                <a:ext uri="{FF2B5EF4-FFF2-40B4-BE49-F238E27FC236}">
                  <a16:creationId xmlns:a16="http://schemas.microsoft.com/office/drawing/2014/main" id="{6600EE9E-47D6-58B8-DAAE-23837B7798BE}"/>
                </a:ext>
              </a:extLst>
            </xdr:cNvPr>
            <xdr:cNvGraphicFramePr/>
          </xdr:nvGraphicFramePr>
          <xdr:xfrm>
            <a:off x="0" y="0"/>
            <a:ext cx="0" cy="0"/>
          </xdr:xfrm>
          <a:graphic>
            <a:graphicData uri="http://schemas.microsoft.com/office/drawing/2010/slicer">
              <sle:slicer xmlns:sle="http://schemas.microsoft.com/office/drawing/2010/slicer" name="Budget_USD 6"/>
            </a:graphicData>
          </a:graphic>
        </xdr:graphicFrame>
      </mc:Choice>
      <mc:Fallback xmlns="">
        <xdr:sp macro="" textlink="">
          <xdr:nvSpPr>
            <xdr:cNvPr id="0" name=""/>
            <xdr:cNvSpPr>
              <a:spLocks noTextEdit="1"/>
            </xdr:cNvSpPr>
          </xdr:nvSpPr>
          <xdr:spPr>
            <a:xfrm>
              <a:off x="124408" y="9144001"/>
              <a:ext cx="1828800" cy="2673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550777662036" createdVersion="8" refreshedVersion="8" minRefreshableVersion="3" recordCount="7" xr:uid="{3CF01CB4-1C6C-4548-BA3E-B6397FAACDB3}">
  <cacheSource type="worksheet">
    <worksheetSource ref="A1:J8" sheet="Digital Add"/>
  </cacheSource>
  <cacheFields count="10">
    <cacheField name="Date" numFmtId="0">
      <sharedItems count="7">
        <s v="2023-02-01"/>
        <s v="2023-09-01"/>
        <s v="2023-12-01"/>
        <s v="2024-09-01"/>
        <s v="2024-10-01"/>
        <s v="2025-03-01"/>
        <s v="2025-10-01"/>
      </sharedItems>
    </cacheField>
    <cacheField name="Company" numFmtId="0">
      <sharedItems count="1">
        <s v="Chitale Bandhu Mithaiwale"/>
      </sharedItems>
    </cacheField>
    <cacheField name="Campaign_Name" numFmtId="0">
      <sharedItems count="7">
        <s v="Digital Ads Feb 2023 Campaign"/>
        <s v="Digital Ads Sep 2023 Campaign"/>
        <s v="Digital Ads Dec 2023 Campaign"/>
        <s v="Digital Ads Sep 2024 Campaign"/>
        <s v="Digital Ads Oct 2024 Campaign"/>
        <s v="Digital Ads Mar 2025 Campaign"/>
        <s v="Digital Ads Oct 2025 Campaign"/>
      </sharedItems>
    </cacheField>
    <cacheField name="Channel" numFmtId="0">
      <sharedItems count="1">
        <s v="Digital Ads"/>
      </sharedItems>
    </cacheField>
    <cacheField name="Budget_USD" numFmtId="164">
      <sharedItems containsSemiMixedTypes="0" containsString="0" containsNumber="1" containsInteger="1" minValue="26910" maxValue="148214" count="7">
        <n v="148214"/>
        <n v="140923"/>
        <n v="85697"/>
        <n v="26910"/>
        <n v="43419"/>
        <n v="35707"/>
        <n v="70859"/>
      </sharedItems>
    </cacheField>
    <cacheField name="Engagement_%" numFmtId="0">
      <sharedItems containsSemiMixedTypes="0" containsString="0" containsNumber="1" minValue="2.11" maxValue="6.2" count="7">
        <n v="2.11"/>
        <n v="6.12"/>
        <n v="5.65"/>
        <n v="4.1900000000000004"/>
        <n v="2.63"/>
        <n v="5.24"/>
        <n v="6.2"/>
      </sharedItems>
    </cacheField>
    <cacheField name="Conversion_Rate_%" numFmtId="0">
      <sharedItems containsSemiMixedTypes="0" containsString="0" containsNumber="1" minValue="0.64" maxValue="4.67"/>
    </cacheField>
    <cacheField name="Region" numFmtId="0">
      <sharedItems count="5">
        <s v="Delhi NCR"/>
        <s v="UK"/>
        <s v="Singapore"/>
        <s v="Maharashtra"/>
        <s v="USA"/>
      </sharedItems>
    </cacheField>
    <cacheField name="Outcome" numFmtId="0">
      <sharedItems count="2">
        <s v="Moderate"/>
        <s v="High ROI"/>
      </sharedItems>
    </cacheField>
    <cacheField name="Notes" numFmtId="0">
      <sharedItems/>
    </cacheField>
  </cacheFields>
  <extLst>
    <ext xmlns:x14="http://schemas.microsoft.com/office/spreadsheetml/2009/9/main" uri="{725AE2AE-9491-48be-B2B4-4EB974FC3084}">
      <x14:pivotCacheDefinition pivotCacheId="2037275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39984953705" createdVersion="8" refreshedVersion="8" minRefreshableVersion="3" recordCount="3" xr:uid="{B5B1C0AD-2DAE-4EAA-9893-9E02FA60A350}">
  <cacheSource type="worksheet">
    <worksheetSource ref="A1:J4" sheet="H INFLUENCER"/>
  </cacheSource>
  <cacheFields count="10">
    <cacheField name="Date" numFmtId="0">
      <sharedItems count="3">
        <s v="2023-11-01"/>
        <s v="2025-01-01"/>
        <s v="2025-07-01"/>
      </sharedItems>
    </cacheField>
    <cacheField name="Company" numFmtId="0">
      <sharedItems/>
    </cacheField>
    <cacheField name="Campaign_Name" numFmtId="0">
      <sharedItems count="3">
        <s v="Influencer Nov 2023 Campaign"/>
        <s v="Influencer Jan 2025 Campaign"/>
        <s v="Influencer Jul 2025 Campaign"/>
      </sharedItems>
    </cacheField>
    <cacheField name="Channel" numFmtId="0">
      <sharedItems count="1">
        <s v="Influencer"/>
      </sharedItems>
    </cacheField>
    <cacheField name="Budget_USD" numFmtId="164">
      <sharedItems containsSemiMixedTypes="0" containsString="0" containsNumber="1" containsInteger="1" minValue="59353" maxValue="129109" count="3">
        <n v="129109"/>
        <n v="63585"/>
        <n v="59353"/>
      </sharedItems>
    </cacheField>
    <cacheField name="Engagement_%" numFmtId="0">
      <sharedItems containsSemiMixedTypes="0" containsString="0" containsNumber="1" minValue="7.24" maxValue="11.61" count="3">
        <n v="7.24"/>
        <n v="8.06"/>
        <n v="11.61"/>
      </sharedItems>
    </cacheField>
    <cacheField name="Conversion_Rate_%" numFmtId="0">
      <sharedItems containsSemiMixedTypes="0" containsString="0" containsNumber="1" minValue="1.33" maxValue="1.83"/>
    </cacheField>
    <cacheField name="Region" numFmtId="0">
      <sharedItems count="3">
        <s v="UAE"/>
        <s v="UK"/>
        <s v="India"/>
      </sharedItems>
    </cacheField>
    <cacheField name="Outcome" numFmtId="0">
      <sharedItems count="3">
        <s v="Low"/>
        <s v="High ROI"/>
        <s v="Moderate"/>
      </sharedItems>
    </cacheField>
    <cacheField name="Notes" numFmtId="0">
      <sharedItems/>
    </cacheField>
  </cacheFields>
  <extLst>
    <ext xmlns:x14="http://schemas.microsoft.com/office/spreadsheetml/2009/9/main" uri="{725AE2AE-9491-48be-B2B4-4EB974FC3084}">
      <x14:pivotCacheDefinition pivotCacheId="14175404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43695601852" createdVersion="8" refreshedVersion="8" minRefreshableVersion="3" recordCount="1" xr:uid="{E1B4AE45-46D9-425E-9C05-B68F5D9E5888}">
  <cacheSource type="worksheet">
    <worksheetSource ref="A1:K2" sheet="Event camping"/>
  </cacheSource>
  <cacheFields count="11">
    <cacheField name="Date" numFmtId="0">
      <sharedItems count="1">
        <s v="2024-02-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102798" maxValue="102798" count="1">
        <n v="102798"/>
      </sharedItems>
    </cacheField>
    <cacheField name="Engagement_%" numFmtId="0">
      <sharedItems containsSemiMixedTypes="0" containsString="0" containsNumber="1" minValue="10.199999999999999" maxValue="10.199999999999999"/>
    </cacheField>
    <cacheField name="Conversion_Rate_%" numFmtId="0">
      <sharedItems containsSemiMixedTypes="0" containsString="0" containsNumber="1" minValue="2.11" maxValue="2.11"/>
    </cacheField>
    <cacheField name="Region" numFmtId="0">
      <sharedItems count="1">
        <s v="Maharashtra"/>
      </sharedItems>
    </cacheField>
    <cacheField name="Outcome" numFmtId="0">
      <sharedItems/>
    </cacheField>
    <cacheField name="Notes" numFmtId="0">
      <sharedItems/>
    </cacheField>
    <cacheField name="Total Budget" numFmtId="164">
      <sharedItems containsSemiMixedTypes="0" containsString="0" containsNumber="1" containsInteger="1" minValue="102798" maxValue="102798"/>
    </cacheField>
  </cacheFields>
  <extLst>
    <ext xmlns:x14="http://schemas.microsoft.com/office/spreadsheetml/2009/9/main" uri="{725AE2AE-9491-48be-B2B4-4EB974FC3084}">
      <x14:pivotCacheDefinition pivotCacheId="11780300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45733796293" createdVersion="8" refreshedVersion="8" minRefreshableVersion="3" recordCount="7" xr:uid="{A4F52B74-2741-471C-8AFE-11F3B435D1E4}">
  <cacheSource type="worksheet">
    <worksheetSource ref="A1:J8" sheet="H PRINT"/>
  </cacheSource>
  <cacheFields count="10">
    <cacheField name="Date" numFmtId="0">
      <sharedItems count="7">
        <s v="2023-04-01"/>
        <s v="2023-08-01"/>
        <s v="2024-03-01"/>
        <s v="2024-06-01"/>
        <s v="2024-11-01"/>
        <s v="2025-02-01"/>
        <s v="2025-09-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20854" maxValue="132235" count="7">
        <n v="103104"/>
        <n v="128859"/>
        <n v="125512"/>
        <n v="28392"/>
        <n v="130687"/>
        <n v="132235"/>
        <n v="20854"/>
      </sharedItems>
    </cacheField>
    <cacheField name="Engagement_%" numFmtId="0">
      <sharedItems containsSemiMixedTypes="0" containsString="0" containsNumber="1" minValue="3.46" maxValue="8.8000000000000007"/>
    </cacheField>
    <cacheField name="Conversion_Rate_%" numFmtId="0">
      <sharedItems containsSemiMixedTypes="0" containsString="0" containsNumber="1" minValue="1.1299999999999999" maxValue="4.59"/>
    </cacheField>
    <cacheField name="Region" numFmtId="0">
      <sharedItems count="5">
        <s v="USA"/>
        <s v="India"/>
        <s v="Singapore"/>
        <s v="UK"/>
        <s v="UAE"/>
      </sharedItems>
    </cacheField>
    <cacheField name="Outcome" numFmtId="0">
      <sharedItems count="2">
        <s v="Moderate"/>
        <s v="High ROI"/>
      </sharedItems>
    </cacheField>
    <cacheField name="Notes" numFmtId="0">
      <sharedItems/>
    </cacheField>
  </cacheFields>
  <extLst>
    <ext xmlns:x14="http://schemas.microsoft.com/office/spreadsheetml/2009/9/main" uri="{725AE2AE-9491-48be-B2B4-4EB974FC3084}">
      <x14:pivotCacheDefinition pivotCacheId="57299617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54580324073" createdVersion="8" refreshedVersion="8" minRefreshableVersion="3" recordCount="7" xr:uid="{E75827D3-2C54-40C0-A876-F7051E311E18}">
  <cacheSource type="worksheet">
    <worksheetSource ref="A1:J8" sheet="Radio"/>
  </cacheSource>
  <cacheFields count="10">
    <cacheField name="Date" numFmtId="0">
      <sharedItems count="7">
        <s v="2023-01-01"/>
        <s v="2023-06-01"/>
        <s v="2023-10-01"/>
        <s v="2024-01-01"/>
        <s v="2024-07-01"/>
        <s v="2024-12-01"/>
        <s v="2025-06-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20860" maxValue="149981" count="7">
        <n v="20860"/>
        <n v="149981"/>
        <n v="100077"/>
        <n v="146678"/>
        <n v="99575"/>
        <n v="139324"/>
        <n v="113557"/>
      </sharedItems>
    </cacheField>
    <cacheField name="Engagement_%" numFmtId="0">
      <sharedItems containsSemiMixedTypes="0" containsString="0" containsNumber="1" minValue="3.43" maxValue="9.74"/>
    </cacheField>
    <cacheField name="Conversion_Rate_%" numFmtId="0">
      <sharedItems containsSemiMixedTypes="0" containsString="0" containsNumber="1" minValue="0.85" maxValue="4.83"/>
    </cacheField>
    <cacheField name="Region" numFmtId="0">
      <sharedItems count="3">
        <s v="UK"/>
        <s v="UAE"/>
        <s v="Delhi NCR"/>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51040787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55945023151" createdVersion="8" refreshedVersion="8" minRefreshableVersion="3" recordCount="5" xr:uid="{C858FFB9-88E4-49EC-AFD0-0AE21B06BFC2}">
  <cacheSource type="worksheet">
    <worksheetSource ref="A1:J6" sheet="Social media"/>
  </cacheSource>
  <cacheFields count="10">
    <cacheField name="Date" numFmtId="0">
      <sharedItems count="5">
        <s v="2023-03-01"/>
        <s v="2024-05-01"/>
        <s v="2024-08-01"/>
        <s v="2025-04-01"/>
        <s v="2025-05-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26776" maxValue="149312" count="5">
        <n v="84820"/>
        <n v="149312"/>
        <n v="118018"/>
        <n v="26776"/>
        <n v="139101"/>
      </sharedItems>
    </cacheField>
    <cacheField name="Engagement_%" numFmtId="0">
      <sharedItems containsSemiMixedTypes="0" containsString="0" containsNumber="1" minValue="2.76" maxValue="11.68"/>
    </cacheField>
    <cacheField name="Conversion_Rate_%" numFmtId="0">
      <sharedItems containsSemiMixedTypes="0" containsString="0" containsNumber="1" minValue="1.04" maxValue="4.67"/>
    </cacheField>
    <cacheField name="Region" numFmtId="0">
      <sharedItems count="3">
        <s v="UAE"/>
        <s v="Delhi NCR"/>
        <s v="India"/>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74064273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61363888888" createdVersion="8" refreshedVersion="8" minRefreshableVersion="3" recordCount="4" xr:uid="{D131E6F0-BE4F-43D5-92B3-CE22A8768D0F}">
  <cacheSource type="worksheet">
    <worksheetSource ref="A1:J5" sheet="TV"/>
  </cacheSource>
  <cacheFields count="10">
    <cacheField name="Date" numFmtId="0">
      <sharedItems count="4">
        <s v="2023-05-01"/>
        <s v="2023-07-01"/>
        <s v="2024-04-01"/>
        <s v="2025-08-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45658" maxValue="105616" count="4">
        <n v="45658"/>
        <n v="89092"/>
        <n v="87563"/>
        <n v="105616"/>
      </sharedItems>
    </cacheField>
    <cacheField name="Engagement_%" numFmtId="0">
      <sharedItems containsSemiMixedTypes="0" containsString="0" containsNumber="1" minValue="4.58" maxValue="11.98"/>
    </cacheField>
    <cacheField name="Conversion_Rate_%" numFmtId="0">
      <sharedItems containsSemiMixedTypes="0" containsString="0" containsNumber="1" minValue="0.56000000000000005" maxValue="1.7"/>
    </cacheField>
    <cacheField name="Region" numFmtId="0">
      <sharedItems count="3">
        <s v="Delhi NCR"/>
        <s v="India"/>
        <s v="USA"/>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1195590352"/>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699247916666" createdVersion="8" refreshedVersion="8" minRefreshableVersion="3" recordCount="2" xr:uid="{23CC73C5-EA52-47A3-A81D-47EB6BDB53AE}">
  <cacheSource type="worksheet">
    <worksheetSource ref="A1:J3" sheet="H DIGITAL ADDS"/>
  </cacheSource>
  <cacheFields count="10">
    <cacheField name="Date" numFmtId="0">
      <sharedItems count="2">
        <s v="2023-07-01"/>
        <s v="2025-09-01"/>
      </sharedItems>
    </cacheField>
    <cacheField name="Company" numFmtId="0">
      <sharedItems/>
    </cacheField>
    <cacheField name="Campaign_Name" numFmtId="0">
      <sharedItems/>
    </cacheField>
    <cacheField name="Channel" numFmtId="0">
      <sharedItems count="1">
        <s v="Digital Ads"/>
      </sharedItems>
    </cacheField>
    <cacheField name="Budget_USD" numFmtId="164">
      <sharedItems containsSemiMixedTypes="0" containsString="0" containsNumber="1" containsInteger="1" minValue="197718" maxValue="272866" count="2">
        <n v="197718"/>
        <n v="272866"/>
      </sharedItems>
    </cacheField>
    <cacheField name="Engagement_%" numFmtId="0">
      <sharedItems containsSemiMixedTypes="0" containsString="0" containsNumber="1" minValue="8.43" maxValue="9.85"/>
    </cacheField>
    <cacheField name="Conversion_Rate_%" numFmtId="0">
      <sharedItems containsSemiMixedTypes="0" containsString="0" containsNumber="1" minValue="1.72" maxValue="4.18"/>
    </cacheField>
    <cacheField name="Region" numFmtId="0">
      <sharedItems count="2">
        <s v="Delhi NCR"/>
        <s v="UAE"/>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1424581214"/>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70393113426" createdVersion="8" refreshedVersion="8" minRefreshableVersion="3" recordCount="1" xr:uid="{2ECBC6D8-DEF1-42C8-8C14-950880B0A7CB}">
  <cacheSource type="worksheet">
    <worksheetSource ref="A1:J2" sheet="H Event "/>
  </cacheSource>
  <cacheFields count="10">
    <cacheField name="Date" numFmtId="0">
      <sharedItems count="1">
        <s v="2024-09-01"/>
      </sharedItems>
    </cacheField>
    <cacheField name="Company" numFmtId="0">
      <sharedItems/>
    </cacheField>
    <cacheField name="Campaign_Name" numFmtId="0">
      <sharedItems count="1">
        <s v="Event Sep 2024 Campaign"/>
      </sharedItems>
    </cacheField>
    <cacheField name="Channel" numFmtId="0">
      <sharedItems/>
    </cacheField>
    <cacheField name="Budget_USD" numFmtId="164">
      <sharedItems containsSemiMixedTypes="0" containsString="0" containsNumber="1" containsInteger="1" minValue="282351" maxValue="282351" count="1">
        <n v="282351"/>
      </sharedItems>
    </cacheField>
    <cacheField name="Engagement_%" numFmtId="0">
      <sharedItems containsSemiMixedTypes="0" containsString="0" containsNumber="1" minValue="10.44" maxValue="10.44"/>
    </cacheField>
    <cacheField name="Conversion_Rate_%" numFmtId="0">
      <sharedItems containsSemiMixedTypes="0" containsString="0" containsNumber="1" minValue="1.93" maxValue="1.93"/>
    </cacheField>
    <cacheField name="Region" numFmtId="0">
      <sharedItems count="1">
        <s v="USA"/>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1353394953"/>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70734710648" createdVersion="8" refreshedVersion="8" minRefreshableVersion="3" recordCount="4" xr:uid="{2175FD8C-9F23-4600-BE38-88242F4762F7}">
  <cacheSource type="worksheet">
    <worksheetSource ref="A1:J5" sheet="H INFLUENCER"/>
  </cacheSource>
  <cacheFields count="10">
    <cacheField name="Date" numFmtId="0">
      <sharedItems count="4">
        <s v="2024-07-01"/>
        <s v="2025-03-01"/>
        <s v="2025-05-01"/>
        <s v="2025-06-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93525" maxValue="277897" count="4">
        <n v="93525"/>
        <n v="137922"/>
        <n v="277897"/>
        <n v="249099"/>
      </sharedItems>
    </cacheField>
    <cacheField name="Engagement_%" numFmtId="0">
      <sharedItems containsSemiMixedTypes="0" containsString="0" containsNumber="1" minValue="1.82" maxValue="5.39"/>
    </cacheField>
    <cacheField name="Conversion_Rate_%" numFmtId="0">
      <sharedItems containsSemiMixedTypes="0" containsString="0" containsNumber="1" minValue="0.56999999999999995" maxValue="4.2300000000000004"/>
    </cacheField>
    <cacheField name="Region" numFmtId="0">
      <sharedItems count="4">
        <s v="USA"/>
        <s v="UK"/>
        <s v="Maharashtra"/>
        <s v="Delhi NCR"/>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25825769"/>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70980798611" createdVersion="8" refreshedVersion="8" minRefreshableVersion="3" recordCount="8" xr:uid="{2F3D1A95-4EBB-47B3-9973-6CE6F2242D54}">
  <cacheSource type="worksheet">
    <worksheetSource ref="A1:J9" sheet="H PRINT"/>
  </cacheSource>
  <cacheFields count="10">
    <cacheField name="Date" numFmtId="0">
      <sharedItems count="8">
        <s v="2023-02-01"/>
        <s v="2023-08-01"/>
        <s v="2023-10-01"/>
        <s v="2023-11-01"/>
        <s v="2024-02-01"/>
        <s v="2024-05-01"/>
        <s v="2024-06-01"/>
        <s v="2025-07-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157455" maxValue="280594" count="8">
        <n v="246805"/>
        <n v="183121"/>
        <n v="176071"/>
        <n v="234423"/>
        <n v="280594"/>
        <n v="157455"/>
        <n v="159616"/>
        <n v="268214"/>
      </sharedItems>
    </cacheField>
    <cacheField name="Engagement_%" numFmtId="0">
      <sharedItems containsSemiMixedTypes="0" containsString="0" containsNumber="1" minValue="1.96" maxValue="11.96"/>
    </cacheField>
    <cacheField name="Conversion_Rate_%" numFmtId="0">
      <sharedItems containsSemiMixedTypes="0" containsString="0" containsNumber="1" minValue="0.54" maxValue="4.9800000000000004"/>
    </cacheField>
    <cacheField name="Region" numFmtId="0">
      <sharedItems count="6">
        <s v="Maharashtra"/>
        <s v="India"/>
        <s v="UAE"/>
        <s v="Singapore"/>
        <s v="Delhi NCR"/>
        <s v="USA"/>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599251798"/>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710977893519" createdVersion="8" refreshedVersion="8" minRefreshableVersion="3" recordCount="8" xr:uid="{7F1CC6AA-BA62-41C6-821B-1A79ACDF024F}">
  <cacheSource type="worksheet">
    <worksheetSource ref="A1:J9" sheet="H RADIO"/>
  </cacheSource>
  <cacheFields count="10">
    <cacheField name="Date" numFmtId="0">
      <sharedItems count="8">
        <s v="2023-01-01"/>
        <s v="2023-05-01"/>
        <s v="2024-11-01"/>
        <s v="2025-01-01"/>
        <s v="2025-02-01"/>
        <s v="2025-04-01"/>
        <s v="2025-08-01"/>
        <s v="2025-10-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68070" maxValue="285362" count="8">
        <n v="159751"/>
        <n v="189752"/>
        <n v="68070"/>
        <n v="285362"/>
        <n v="160627"/>
        <n v="280229"/>
        <n v="220806"/>
        <n v="140852"/>
      </sharedItems>
    </cacheField>
    <cacheField name="Engagement_%" numFmtId="0">
      <sharedItems containsSemiMixedTypes="0" containsString="0" containsNumber="1" minValue="2.95" maxValue="9.8800000000000008"/>
    </cacheField>
    <cacheField name="Conversion_Rate_%" numFmtId="0">
      <sharedItems containsSemiMixedTypes="0" containsString="0" containsNumber="1" minValue="0.86" maxValue="3.78"/>
    </cacheField>
    <cacheField name="Region" numFmtId="0">
      <sharedItems count="6">
        <s v="Delhi NCR"/>
        <s v="UK"/>
        <s v="UAE"/>
        <s v="Maharashtra"/>
        <s v="India"/>
        <s v="Singapore"/>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1200093228"/>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713087615739" createdVersion="8" refreshedVersion="8" minRefreshableVersion="3" recordCount="6" xr:uid="{FBA4389A-D459-429C-B119-A1EA71A44D5F}">
  <cacheSource type="worksheet">
    <worksheetSource ref="A1:J7" sheet="H SOCIAL MEDIA"/>
  </cacheSource>
  <cacheFields count="10">
    <cacheField name="Date" numFmtId="0">
      <sharedItems count="6">
        <s v="2023-04-01"/>
        <s v="2023-09-01"/>
        <s v="2023-12-01"/>
        <s v="2024-01-01"/>
        <s v="2024-03-01"/>
        <s v="2024-04-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69830" maxValue="293548" count="6">
        <n v="253154"/>
        <n v="224088"/>
        <n v="293548"/>
        <n v="162296"/>
        <n v="69830"/>
        <n v="186967"/>
      </sharedItems>
    </cacheField>
    <cacheField name="Engagement_%" numFmtId="0">
      <sharedItems containsSemiMixedTypes="0" containsString="0" containsNumber="1" minValue="3.35" maxValue="8.9700000000000006"/>
    </cacheField>
    <cacheField name="Conversion_Rate_%" numFmtId="0">
      <sharedItems containsSemiMixedTypes="0" containsString="0" containsNumber="1" minValue="0.57999999999999996" maxValue="4.1399999999999997"/>
    </cacheField>
    <cacheField name="Region" numFmtId="0">
      <sharedItems count="5">
        <s v="UK"/>
        <s v="Singapore"/>
        <s v="India"/>
        <s v="USA"/>
        <s v="UAE"/>
      </sharedItems>
    </cacheField>
    <cacheField name="Outcome" numFmtId="0">
      <sharedItems/>
    </cacheField>
    <cacheField name="Notes" numFmtId="0">
      <sharedItems/>
    </cacheField>
  </cacheFields>
  <extLst>
    <ext xmlns:x14="http://schemas.microsoft.com/office/spreadsheetml/2009/9/main" uri="{725AE2AE-9491-48be-B2B4-4EB974FC3084}">
      <x14:pivotCacheDefinition pivotCacheId="134540545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Shewale" refreshedDate="45937.714288888892" createdVersion="8" refreshedVersion="8" minRefreshableVersion="3" recordCount="5" xr:uid="{9D89FBA7-2C7D-485C-848A-BD0978B0A15F}">
  <cacheSource type="worksheet">
    <worksheetSource ref="A1:J6" sheet="H TV "/>
  </cacheSource>
  <cacheFields count="10">
    <cacheField name="Date" numFmtId="0">
      <sharedItems count="5">
        <s v="2023-03-01"/>
        <s v="2023-06-01"/>
        <s v="2024-08-01"/>
        <s v="2024-10-01"/>
        <s v="2024-12-01"/>
      </sharedItems>
    </cacheField>
    <cacheField name="Company" numFmtId="0">
      <sharedItems/>
    </cacheField>
    <cacheField name="Campaign_Name" numFmtId="0">
      <sharedItems/>
    </cacheField>
    <cacheField name="Channel" numFmtId="0">
      <sharedItems/>
    </cacheField>
    <cacheField name="Budget_USD" numFmtId="164">
      <sharedItems containsSemiMixedTypes="0" containsString="0" containsNumber="1" containsInteger="1" minValue="58155" maxValue="226308"/>
    </cacheField>
    <cacheField name="Engagement_%" numFmtId="0">
      <sharedItems containsSemiMixedTypes="0" containsString="0" containsNumber="1" minValue="3.46" maxValue="9.2200000000000006"/>
    </cacheField>
    <cacheField name="Conversion_Rate_%" numFmtId="0">
      <sharedItems containsSemiMixedTypes="0" containsString="0" containsNumber="1" minValue="0.68" maxValue="4.91"/>
    </cacheField>
    <cacheField name="Region" numFmtId="0">
      <sharedItems count="5">
        <s v="UK"/>
        <s v="Delhi NCR"/>
        <s v="UAE"/>
        <s v="Maharashtra"/>
        <s v="India"/>
      </sharedItems>
    </cacheField>
    <cacheField name="Outcome" numFmtId="0">
      <sharedItems/>
    </cacheField>
    <cacheField name="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n v="4.4000000000000004"/>
    <x v="0"/>
    <x v="0"/>
    <s v="Monthly brand awareness and promotional activity. Synthetic data generated based on historical marketing intensity."/>
  </r>
  <r>
    <x v="1"/>
    <x v="0"/>
    <x v="1"/>
    <x v="0"/>
    <x v="1"/>
    <x v="1"/>
    <n v="1.05"/>
    <x v="1"/>
    <x v="0"/>
    <s v="Monthly brand awareness and promotional activity. Synthetic data generated based on historical marketing intensity."/>
  </r>
  <r>
    <x v="2"/>
    <x v="0"/>
    <x v="2"/>
    <x v="0"/>
    <x v="2"/>
    <x v="2"/>
    <n v="4.67"/>
    <x v="1"/>
    <x v="0"/>
    <s v="Monthly brand awareness and promotional activity. Synthetic data generated based on historical marketing intensity."/>
  </r>
  <r>
    <x v="3"/>
    <x v="0"/>
    <x v="3"/>
    <x v="0"/>
    <x v="3"/>
    <x v="3"/>
    <n v="0.68"/>
    <x v="2"/>
    <x v="0"/>
    <s v="Monthly brand awareness and promotional activity. Synthetic data generated based on historical marketing intensity."/>
  </r>
  <r>
    <x v="4"/>
    <x v="0"/>
    <x v="4"/>
    <x v="0"/>
    <x v="4"/>
    <x v="4"/>
    <n v="0.64"/>
    <x v="3"/>
    <x v="0"/>
    <s v="Monthly brand awareness and promotional activity. Synthetic data generated based on historical marketing intensity."/>
  </r>
  <r>
    <x v="5"/>
    <x v="0"/>
    <x v="5"/>
    <x v="0"/>
    <x v="5"/>
    <x v="5"/>
    <n v="4.58"/>
    <x v="2"/>
    <x v="1"/>
    <s v="Monthly brand awareness and promotional activity. Synthetic data generated based on historical marketing intensity."/>
  </r>
  <r>
    <x v="6"/>
    <x v="0"/>
    <x v="6"/>
    <x v="0"/>
    <x v="6"/>
    <x v="6"/>
    <n v="2.99"/>
    <x v="4"/>
    <x v="0"/>
    <s v="Monthly brand awareness and promotional activity. Synthetic data generated based on historical marketing intensit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Chitale Bandhu Mithaiwale"/>
    <x v="0"/>
    <x v="0"/>
    <x v="0"/>
    <x v="0"/>
    <n v="1.33"/>
    <x v="0"/>
    <x v="0"/>
    <s v="Monthly brand awareness and promotional activity. Synthetic data generated based on historical marketing intensity."/>
  </r>
  <r>
    <x v="1"/>
    <s v="Chitale Bandhu Mithaiwale"/>
    <x v="1"/>
    <x v="0"/>
    <x v="1"/>
    <x v="1"/>
    <n v="1.83"/>
    <x v="1"/>
    <x v="1"/>
    <s v="Monthly brand awareness and promotional activity. Synthetic data generated based on historical marketing intensity."/>
  </r>
  <r>
    <x v="2"/>
    <s v="Chitale Bandhu Mithaiwale"/>
    <x v="2"/>
    <x v="0"/>
    <x v="2"/>
    <x v="2"/>
    <n v="1.63"/>
    <x v="2"/>
    <x v="2"/>
    <s v="Monthly brand awareness and promotional activity. Synthetic data generated based on historical marketing intensit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s v="Chitale Bandhu Mithaiwale"/>
    <s v="Event Feb 2024 Campaign"/>
    <s v="Event"/>
    <x v="0"/>
    <n v="10.199999999999999"/>
    <n v="2.11"/>
    <x v="0"/>
    <s v="High ROI"/>
    <s v="Monthly brand awareness and promotional activity. Synthetic data generated based on historical marketing intensity."/>
    <n v="10279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Chitale Bandhu Mithaiwale"/>
    <s v="Print Apr 2023 Campaign"/>
    <s v="Print"/>
    <x v="0"/>
    <n v="4.6900000000000004"/>
    <n v="2.86"/>
    <x v="0"/>
    <x v="0"/>
    <s v="Monthly brand awareness and promotional activity. Synthetic data generated based on historical marketing intensity."/>
  </r>
  <r>
    <x v="1"/>
    <s v="Chitale Bandhu Mithaiwale"/>
    <s v="Print Aug 2023 Campaign"/>
    <s v="Print"/>
    <x v="1"/>
    <n v="7.41"/>
    <n v="2.23"/>
    <x v="1"/>
    <x v="1"/>
    <s v="Monthly brand awareness and promotional activity. Synthetic data generated based on historical marketing intensity."/>
  </r>
  <r>
    <x v="2"/>
    <s v="Chitale Bandhu Mithaiwale"/>
    <s v="Print Mar 2024 Campaign"/>
    <s v="Print"/>
    <x v="2"/>
    <n v="4.6100000000000003"/>
    <n v="1.24"/>
    <x v="0"/>
    <x v="1"/>
    <s v="Monthly brand awareness and promotional activity. Synthetic data generated based on historical marketing intensity."/>
  </r>
  <r>
    <x v="3"/>
    <s v="Chitale Bandhu Mithaiwale"/>
    <s v="Print Jun 2024 Campaign"/>
    <s v="Print"/>
    <x v="3"/>
    <n v="8.0399999999999991"/>
    <n v="1.99"/>
    <x v="2"/>
    <x v="1"/>
    <s v="Monthly brand awareness and promotional activity. Synthetic data generated based on historical marketing intensity."/>
  </r>
  <r>
    <x v="4"/>
    <s v="Chitale Bandhu Mithaiwale"/>
    <s v="Print Nov 2024 Campaign"/>
    <s v="Print"/>
    <x v="4"/>
    <n v="8.8000000000000007"/>
    <n v="1.1299999999999999"/>
    <x v="0"/>
    <x v="0"/>
    <s v="Monthly brand awareness and promotional activity. Synthetic data generated based on historical marketing intensity."/>
  </r>
  <r>
    <x v="5"/>
    <s v="Chitale Bandhu Mithaiwale"/>
    <s v="Print Feb 2025 Campaign"/>
    <s v="Print"/>
    <x v="5"/>
    <n v="3.46"/>
    <n v="4.5199999999999996"/>
    <x v="3"/>
    <x v="0"/>
    <s v="Monthly brand awareness and promotional activity. Synthetic data generated based on historical marketing intensity."/>
  </r>
  <r>
    <x v="6"/>
    <s v="Chitale Bandhu Mithaiwale"/>
    <s v="Print Sep 2025 Campaign"/>
    <s v="Print"/>
    <x v="6"/>
    <n v="4.43"/>
    <n v="4.59"/>
    <x v="4"/>
    <x v="1"/>
    <s v="Monthly brand awareness and promotional activity. Synthetic data generated based on historical marketing intensity."/>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Chitale Bandhu Mithaiwale"/>
    <s v="Radio Jan 2023 Campaign"/>
    <s v="Radio"/>
    <x v="0"/>
    <n v="3.43"/>
    <n v="4.01"/>
    <x v="0"/>
    <s v="Moderate"/>
    <s v="Monthly brand awareness and promotional activity. Synthetic data generated based on historical marketing intensity."/>
  </r>
  <r>
    <x v="1"/>
    <s v="Chitale Bandhu Mithaiwale"/>
    <s v="Radio Jun 2023 Campaign"/>
    <s v="Radio"/>
    <x v="1"/>
    <n v="9.74"/>
    <n v="1.4"/>
    <x v="1"/>
    <s v="Moderate"/>
    <s v="Monthly brand awareness and promotional activity. Synthetic data generated based on historical marketing intensity."/>
  </r>
  <r>
    <x v="2"/>
    <s v="Chitale Bandhu Mithaiwale"/>
    <s v="Radio Oct 2023 Campaign"/>
    <s v="Radio"/>
    <x v="2"/>
    <n v="5.61"/>
    <n v="1.32"/>
    <x v="2"/>
    <s v="Moderate"/>
    <s v="Monthly brand awareness and promotional activity. Synthetic data generated based on historical marketing intensity."/>
  </r>
  <r>
    <x v="3"/>
    <s v="Chitale Bandhu Mithaiwale"/>
    <s v="Radio Jan 2024 Campaign"/>
    <s v="Radio"/>
    <x v="3"/>
    <n v="6.97"/>
    <n v="4.83"/>
    <x v="1"/>
    <s v="Low"/>
    <s v="Monthly brand awareness and promotional activity. Synthetic data generated based on historical marketing intensity."/>
  </r>
  <r>
    <x v="4"/>
    <s v="Chitale Bandhu Mithaiwale"/>
    <s v="Radio Jul 2024 Campaign"/>
    <s v="Radio"/>
    <x v="4"/>
    <n v="8.49"/>
    <n v="3.16"/>
    <x v="1"/>
    <s v="High ROI"/>
    <s v="Monthly brand awareness and promotional activity. Synthetic data generated based on historical marketing intensity."/>
  </r>
  <r>
    <x v="5"/>
    <s v="Chitale Bandhu Mithaiwale"/>
    <s v="Radio Dec 2024 Campaign"/>
    <s v="Radio"/>
    <x v="5"/>
    <n v="3.9"/>
    <n v="0.85"/>
    <x v="2"/>
    <s v="High ROI"/>
    <s v="Monthly brand awareness and promotional activity. Synthetic data generated based on historical marketing intensity."/>
  </r>
  <r>
    <x v="6"/>
    <s v="Chitale Bandhu Mithaiwale"/>
    <s v="Radio Jun 2025 Campaign"/>
    <s v="Radio"/>
    <x v="6"/>
    <n v="3.8"/>
    <n v="3.01"/>
    <x v="2"/>
    <s v="Moderate"/>
    <s v="Monthly brand awareness and promotional activity. Synthetic data generated based on historical marketing intensity."/>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Chitale Bandhu Mithaiwale"/>
    <s v="Social Media Mar 2023 Campaign"/>
    <s v="Social Media"/>
    <x v="0"/>
    <n v="11.68"/>
    <n v="4.25"/>
    <x v="0"/>
    <s v="High ROI"/>
    <s v="Monthly brand awareness and promotional activity. Synthetic data generated based on historical marketing intensity."/>
  </r>
  <r>
    <x v="1"/>
    <s v="Chitale Bandhu Mithaiwale"/>
    <s v="Social Media May 2024 Campaign"/>
    <s v="Social Media"/>
    <x v="1"/>
    <n v="7.86"/>
    <n v="4.67"/>
    <x v="1"/>
    <s v="Moderate"/>
    <s v="Monthly brand awareness and promotional activity. Synthetic data generated based on historical marketing intensity."/>
  </r>
  <r>
    <x v="2"/>
    <s v="Chitale Bandhu Mithaiwale"/>
    <s v="Social Media Aug 2024 Campaign"/>
    <s v="Social Media"/>
    <x v="2"/>
    <n v="2.76"/>
    <n v="3.71"/>
    <x v="2"/>
    <s v="Moderate"/>
    <s v="Monthly brand awareness and promotional activity. Synthetic data generated based on historical marketing intensity."/>
  </r>
  <r>
    <x v="3"/>
    <s v="Chitale Bandhu Mithaiwale"/>
    <s v="Social Media Apr 2025 Campaign"/>
    <s v="Social Media"/>
    <x v="3"/>
    <n v="10.09"/>
    <n v="4.37"/>
    <x v="0"/>
    <s v="High ROI"/>
    <s v="Monthly brand awareness and promotional activity. Synthetic data generated based on historical marketing intensity."/>
  </r>
  <r>
    <x v="4"/>
    <s v="Chitale Bandhu Mithaiwale"/>
    <s v="Social Media May 2025 Campaign"/>
    <s v="Social Media"/>
    <x v="4"/>
    <n v="3.83"/>
    <n v="1.04"/>
    <x v="2"/>
    <s v="Moderate"/>
    <s v="Monthly brand awareness and promotional activity. Synthetic data generated based on historical marketing intensity."/>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s v="Chitale Bandhu Mithaiwale"/>
    <s v="TV May 2023 Campaign"/>
    <s v="TV"/>
    <x v="0"/>
    <n v="5.7"/>
    <n v="0.71"/>
    <x v="0"/>
    <s v="Low"/>
    <s v="Monthly brand awareness and promotional activity. Synthetic data generated based on historical marketing intensity."/>
  </r>
  <r>
    <x v="1"/>
    <s v="Chitale Bandhu Mithaiwale"/>
    <s v="TV Jul 2023 Campaign"/>
    <s v="TV"/>
    <x v="1"/>
    <n v="7.88"/>
    <n v="1.27"/>
    <x v="0"/>
    <s v="High ROI"/>
    <s v="Monthly brand awareness and promotional activity. Synthetic data generated based on historical marketing intensity."/>
  </r>
  <r>
    <x v="2"/>
    <s v="Chitale Bandhu Mithaiwale"/>
    <s v="TV Apr 2024 Campaign"/>
    <s v="TV"/>
    <x v="2"/>
    <n v="4.58"/>
    <n v="0.56000000000000005"/>
    <x v="1"/>
    <s v="High ROI"/>
    <s v="Monthly brand awareness and promotional activity. Synthetic data generated based on historical marketing intensity."/>
  </r>
  <r>
    <x v="3"/>
    <s v="Chitale Bandhu Mithaiwale"/>
    <s v="TV Aug 2025 Campaign"/>
    <s v="TV"/>
    <x v="3"/>
    <n v="11.98"/>
    <n v="1.7"/>
    <x v="2"/>
    <s v="Low"/>
    <s v="Monthly brand awareness and promotional activity. Synthetic data generated based on historical marketing intensity."/>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s v="Haldiram's"/>
    <s v="Digital Ads Jul 2023 Campaign"/>
    <x v="0"/>
    <x v="0"/>
    <n v="8.43"/>
    <n v="4.18"/>
    <x v="0"/>
    <s v="Moderate"/>
    <s v="Monthly brand awareness and promotional activity. Synthetic data generated based on historical marketing intensity."/>
  </r>
  <r>
    <x v="1"/>
    <s v="Haldiram's"/>
    <s v="Digital Ads Sep 2025 Campaign"/>
    <x v="0"/>
    <x v="1"/>
    <n v="9.85"/>
    <n v="1.72"/>
    <x v="1"/>
    <s v="Moderate"/>
    <s v="Monthly brand awareness and promotional activity. Synthetic data generated based on historical marketing intensity."/>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s v="Haldiram's"/>
    <x v="0"/>
    <s v="Event"/>
    <x v="0"/>
    <n v="10.44"/>
    <n v="1.93"/>
    <x v="0"/>
    <s v="High ROI"/>
    <s v="Monthly brand awareness and promotional activity. Synthetic data generated based on historical marketing intensity."/>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s v="Haldiram's"/>
    <s v="Influencer Jul 2024 Campaign"/>
    <s v="Influencer"/>
    <x v="0"/>
    <n v="5.39"/>
    <n v="0.56999999999999995"/>
    <x v="0"/>
    <s v="Low"/>
    <s v="Monthly brand awareness and promotional activity. Synthetic data generated based on historical marketing intensity."/>
  </r>
  <r>
    <x v="1"/>
    <s v="Haldiram's"/>
    <s v="Influencer Mar 2025 Campaign"/>
    <s v="Influencer"/>
    <x v="1"/>
    <n v="5.05"/>
    <n v="2.19"/>
    <x v="1"/>
    <s v="High ROI"/>
    <s v="Monthly brand awareness and promotional activity. Synthetic data generated based on historical marketing intensity."/>
  </r>
  <r>
    <x v="2"/>
    <s v="Haldiram's"/>
    <s v="Influencer May 2025 Campaign"/>
    <s v="Influencer"/>
    <x v="2"/>
    <n v="1.82"/>
    <n v="0.67"/>
    <x v="2"/>
    <s v="Low"/>
    <s v="Monthly brand awareness and promotional activity. Synthetic data generated based on historical marketing intensity."/>
  </r>
  <r>
    <x v="3"/>
    <s v="Haldiram's"/>
    <s v="Influencer Jun 2025 Campaign"/>
    <s v="Influencer"/>
    <x v="3"/>
    <n v="4.93"/>
    <n v="4.2300000000000004"/>
    <x v="3"/>
    <s v="High ROI"/>
    <s v="Monthly brand awareness and promotional activity. Synthetic data generated based on historical marketing intensity."/>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Haldiram's"/>
    <s v="Print Feb 2023 Campaign"/>
    <s v="Print"/>
    <x v="0"/>
    <n v="5.69"/>
    <n v="4.17"/>
    <x v="0"/>
    <s v="Moderate"/>
    <s v="Monthly brand awareness and promotional activity. Synthetic data generated based on historical marketing intensity."/>
  </r>
  <r>
    <x v="1"/>
    <s v="Haldiram's"/>
    <s v="Print Aug 2023 Campaign"/>
    <s v="Print"/>
    <x v="1"/>
    <n v="11.96"/>
    <n v="4.84"/>
    <x v="1"/>
    <s v="Moderate"/>
    <s v="Monthly brand awareness and promotional activity. Synthetic data generated based on historical marketing intensity."/>
  </r>
  <r>
    <x v="2"/>
    <s v="Haldiram's"/>
    <s v="Print Oct 2023 Campaign"/>
    <s v="Print"/>
    <x v="2"/>
    <n v="10.82"/>
    <n v="4.33"/>
    <x v="2"/>
    <s v="Low"/>
    <s v="Monthly brand awareness and promotional activity. Synthetic data generated based on historical marketing intensity."/>
  </r>
  <r>
    <x v="3"/>
    <s v="Haldiram's"/>
    <s v="Print Nov 2023 Campaign"/>
    <s v="Print"/>
    <x v="3"/>
    <n v="7.87"/>
    <n v="0.54"/>
    <x v="2"/>
    <s v="High ROI"/>
    <s v="Monthly brand awareness and promotional activity. Synthetic data generated based on historical marketing intensity."/>
  </r>
  <r>
    <x v="4"/>
    <s v="Haldiram's"/>
    <s v="Print Feb 2024 Campaign"/>
    <s v="Print"/>
    <x v="4"/>
    <n v="8.4"/>
    <n v="3.06"/>
    <x v="3"/>
    <s v="High ROI"/>
    <s v="Monthly brand awareness and promotional activity. Synthetic data generated based on historical marketing intensity."/>
  </r>
  <r>
    <x v="5"/>
    <s v="Haldiram's"/>
    <s v="Print May 2024 Campaign"/>
    <s v="Print"/>
    <x v="5"/>
    <n v="10.57"/>
    <n v="1.54"/>
    <x v="3"/>
    <s v="Moderate"/>
    <s v="Monthly brand awareness and promotional activity. Synthetic data generated based on historical marketing intensity."/>
  </r>
  <r>
    <x v="6"/>
    <s v="Haldiram's"/>
    <s v="Print Jun 2024 Campaign"/>
    <s v="Print"/>
    <x v="6"/>
    <n v="1.96"/>
    <n v="4.9800000000000004"/>
    <x v="4"/>
    <s v="Moderate"/>
    <s v="Monthly brand awareness and promotional activity. Synthetic data generated based on historical marketing intensity."/>
  </r>
  <r>
    <x v="7"/>
    <s v="Haldiram's"/>
    <s v="Print Jul 2025 Campaign"/>
    <s v="Print"/>
    <x v="7"/>
    <n v="2.4"/>
    <n v="0.73"/>
    <x v="5"/>
    <s v="Moderate"/>
    <s v="Monthly brand awareness and promotional activity. Synthetic data generated based on historical marketing intensity."/>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Haldiram's"/>
    <s v="Radio Jan 2023 Campaign"/>
    <s v="Radio"/>
    <x v="0"/>
    <n v="4"/>
    <n v="3.78"/>
    <x v="0"/>
    <s v="Moderate"/>
    <s v="Monthly brand awareness and promotional activity. Synthetic data generated based on historical marketing intensity."/>
  </r>
  <r>
    <x v="1"/>
    <s v="Haldiram's"/>
    <s v="Radio May 2023 Campaign"/>
    <s v="Radio"/>
    <x v="1"/>
    <n v="8.75"/>
    <n v="2.2400000000000002"/>
    <x v="1"/>
    <s v="Low"/>
    <s v="Monthly brand awareness and promotional activity. Synthetic data generated based on historical marketing intensity."/>
  </r>
  <r>
    <x v="2"/>
    <s v="Haldiram's"/>
    <s v="Radio Nov 2024 Campaign"/>
    <s v="Radio"/>
    <x v="2"/>
    <n v="2.97"/>
    <n v="2.83"/>
    <x v="2"/>
    <s v="Low"/>
    <s v="Monthly brand awareness and promotional activity. Synthetic data generated based on historical marketing intensity."/>
  </r>
  <r>
    <x v="3"/>
    <s v="Haldiram's"/>
    <s v="Radio Jan 2025 Campaign"/>
    <s v="Radio"/>
    <x v="3"/>
    <n v="4.1900000000000004"/>
    <n v="3.25"/>
    <x v="3"/>
    <s v="High ROI"/>
    <s v="Monthly brand awareness and promotional activity. Synthetic data generated based on historical marketing intensity."/>
  </r>
  <r>
    <x v="4"/>
    <s v="Haldiram's"/>
    <s v="Radio Feb 2025 Campaign"/>
    <s v="Radio"/>
    <x v="4"/>
    <n v="9.8800000000000008"/>
    <n v="3.42"/>
    <x v="4"/>
    <s v="Moderate"/>
    <s v="Monthly brand awareness and promotional activity. Synthetic data generated based on historical marketing intensity."/>
  </r>
  <r>
    <x v="5"/>
    <s v="Haldiram's"/>
    <s v="Radio Apr 2025 Campaign"/>
    <s v="Radio"/>
    <x v="5"/>
    <n v="4.95"/>
    <n v="1.2"/>
    <x v="5"/>
    <s v="Low"/>
    <s v="Monthly brand awareness and promotional activity. Synthetic data generated based on historical marketing intensity."/>
  </r>
  <r>
    <x v="6"/>
    <s v="Haldiram's"/>
    <s v="Radio Aug 2025 Campaign"/>
    <s v="Radio"/>
    <x v="6"/>
    <n v="2.95"/>
    <n v="1.1000000000000001"/>
    <x v="0"/>
    <s v="Low"/>
    <s v="Monthly brand awareness and promotional activity. Synthetic data generated based on historical marketing intensity."/>
  </r>
  <r>
    <x v="7"/>
    <s v="Haldiram's"/>
    <s v="Radio Oct 2025 Campaign"/>
    <s v="Radio"/>
    <x v="7"/>
    <n v="3.44"/>
    <n v="0.86"/>
    <x v="3"/>
    <s v="Moderate"/>
    <s v="Monthly brand awareness and promotional activity. Synthetic data generated based on historical marketing intensity."/>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Haldiram's"/>
    <s v="Social Media Apr 2023 Campaign"/>
    <s v="Social Media"/>
    <x v="0"/>
    <n v="8.9700000000000006"/>
    <n v="4.1399999999999997"/>
    <x v="0"/>
    <s v="Moderate"/>
    <s v="Monthly brand awareness and promotional activity. Synthetic data generated based on historical marketing intensity."/>
  </r>
  <r>
    <x v="1"/>
    <s v="Haldiram's"/>
    <s v="Social Media Sep 2023 Campaign"/>
    <s v="Social Media"/>
    <x v="1"/>
    <n v="4.43"/>
    <n v="3.65"/>
    <x v="1"/>
    <s v="Low"/>
    <s v="Monthly brand awareness and promotional activity. Synthetic data generated based on historical marketing intensity."/>
  </r>
  <r>
    <x v="2"/>
    <s v="Haldiram's"/>
    <s v="Social Media Dec 2023 Campaign"/>
    <s v="Social Media"/>
    <x v="2"/>
    <n v="4.4800000000000004"/>
    <n v="1.87"/>
    <x v="2"/>
    <s v="Moderate"/>
    <s v="Monthly brand awareness and promotional activity. Synthetic data generated based on historical marketing intensity."/>
  </r>
  <r>
    <x v="3"/>
    <s v="Haldiram's"/>
    <s v="Social Media Jan 2024 Campaign"/>
    <s v="Social Media"/>
    <x v="3"/>
    <n v="3.35"/>
    <n v="0.57999999999999996"/>
    <x v="3"/>
    <s v="Moderate"/>
    <s v="Monthly brand awareness and promotional activity. Synthetic data generated based on historical marketing intensity."/>
  </r>
  <r>
    <x v="4"/>
    <s v="Haldiram's"/>
    <s v="Social Media Mar 2024 Campaign"/>
    <s v="Social Media"/>
    <x v="4"/>
    <n v="4.13"/>
    <n v="3.15"/>
    <x v="4"/>
    <s v="Low"/>
    <s v="Monthly brand awareness and promotional activity. Synthetic data generated based on historical marketing intensity."/>
  </r>
  <r>
    <x v="5"/>
    <s v="Haldiram's"/>
    <s v="Social Media Apr 2024 Campaign"/>
    <s v="Social Media"/>
    <x v="5"/>
    <n v="8.1300000000000008"/>
    <n v="4.08"/>
    <x v="4"/>
    <s v="Moderate"/>
    <s v="Monthly brand awareness and promotional activity. Synthetic data generated based on historical marketing intensity."/>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Haldiram's"/>
    <s v="TV Mar 2023 Campaign"/>
    <s v="TV"/>
    <n v="136202"/>
    <n v="3.46"/>
    <n v="0.68"/>
    <x v="0"/>
    <s v="Moderate"/>
    <s v="Monthly brand awareness and promotional activity. Synthetic data generated based on historical marketing intensity."/>
  </r>
  <r>
    <x v="1"/>
    <s v="Haldiram's"/>
    <s v="TV Jun 2023 Campaign"/>
    <s v="TV"/>
    <n v="58155"/>
    <n v="9.2200000000000006"/>
    <n v="1.44"/>
    <x v="1"/>
    <s v="Moderate"/>
    <s v="Monthly brand awareness and promotional activity. Synthetic data generated based on historical marketing intensity."/>
  </r>
  <r>
    <x v="2"/>
    <s v="Haldiram's"/>
    <s v="TV Aug 2024 Campaign"/>
    <s v="TV"/>
    <n v="226308"/>
    <n v="7.51"/>
    <n v="4.91"/>
    <x v="2"/>
    <s v="High ROI"/>
    <s v="Monthly brand awareness and promotional activity. Synthetic data generated based on historical marketing intensity."/>
  </r>
  <r>
    <x v="3"/>
    <s v="Haldiram's"/>
    <s v="TV Oct 2024 Campaign"/>
    <s v="TV"/>
    <n v="204165"/>
    <n v="8.81"/>
    <n v="3.07"/>
    <x v="3"/>
    <s v="High ROI"/>
    <s v="Monthly brand awareness and promotional activity. Synthetic data generated based on historical marketing intensity."/>
  </r>
  <r>
    <x v="4"/>
    <s v="Haldiram's"/>
    <s v="TV Dec 2024 Campaign"/>
    <s v="TV"/>
    <n v="155864"/>
    <n v="8.8800000000000008"/>
    <n v="2.12"/>
    <x v="4"/>
    <s v="High ROI"/>
    <s v="Monthly brand awareness and promotional activity. Synthetic data generated based on historical marketing intens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666C1-3F80-4DA0-A5E5-E2ED2889E4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G12" firstHeaderRow="1" firstDataRow="2" firstDataCol="1"/>
  <pivotFields count="10">
    <pivotField axis="axisRow" showAll="0">
      <items count="8">
        <item x="0"/>
        <item x="1"/>
        <item x="2"/>
        <item x="3"/>
        <item x="4"/>
        <item x="5"/>
        <item x="6"/>
        <item t="default"/>
      </items>
    </pivotField>
    <pivotField showAll="0">
      <items count="2">
        <item x="0"/>
        <item t="default"/>
      </items>
    </pivotField>
    <pivotField showAll="0">
      <items count="8">
        <item x="2"/>
        <item x="0"/>
        <item x="5"/>
        <item x="4"/>
        <item x="6"/>
        <item x="1"/>
        <item x="3"/>
        <item t="default"/>
      </items>
    </pivotField>
    <pivotField showAll="0">
      <items count="2">
        <item x="0"/>
        <item t="default"/>
      </items>
    </pivotField>
    <pivotField dataField="1" numFmtId="164" showAll="0">
      <items count="8">
        <item x="3"/>
        <item x="5"/>
        <item x="4"/>
        <item x="6"/>
        <item x="2"/>
        <item x="1"/>
        <item x="0"/>
        <item t="default"/>
      </items>
    </pivotField>
    <pivotField showAll="0">
      <items count="8">
        <item x="0"/>
        <item x="4"/>
        <item x="3"/>
        <item x="5"/>
        <item x="2"/>
        <item x="1"/>
        <item x="6"/>
        <item t="default"/>
      </items>
    </pivotField>
    <pivotField showAll="0"/>
    <pivotField axis="axisCol" showAll="0">
      <items count="6">
        <item x="0"/>
        <item x="3"/>
        <item x="2"/>
        <item x="1"/>
        <item x="4"/>
        <item t="default"/>
      </items>
    </pivotField>
    <pivotField showAll="0">
      <items count="3">
        <item x="1"/>
        <item x="0"/>
        <item t="default"/>
      </items>
    </pivotField>
    <pivotField showAll="0"/>
  </pivotFields>
  <rowFields count="1">
    <field x="0"/>
  </rowFields>
  <rowItems count="8">
    <i>
      <x/>
    </i>
    <i>
      <x v="1"/>
    </i>
    <i>
      <x v="2"/>
    </i>
    <i>
      <x v="3"/>
    </i>
    <i>
      <x v="4"/>
    </i>
    <i>
      <x v="5"/>
    </i>
    <i>
      <x v="6"/>
    </i>
    <i t="grand">
      <x/>
    </i>
  </rowItems>
  <colFields count="1">
    <field x="7"/>
  </colFields>
  <colItems count="6">
    <i>
      <x/>
    </i>
    <i>
      <x v="1"/>
    </i>
    <i>
      <x v="2"/>
    </i>
    <i>
      <x v="3"/>
    </i>
    <i>
      <x v="4"/>
    </i>
    <i t="grand">
      <x/>
    </i>
  </colItems>
  <dataFields count="1">
    <dataField name="Sum of Budget_USD" fld="4" baseField="0" baseItem="0" numFmtId="164"/>
  </dataFields>
  <chartFormats count="5">
    <chartFormat chart="13" format="10" series="1">
      <pivotArea type="data" outline="0" fieldPosition="0">
        <references count="2">
          <reference field="4294967294" count="1" selected="0">
            <x v="0"/>
          </reference>
          <reference field="7" count="1" selected="0">
            <x v="0"/>
          </reference>
        </references>
      </pivotArea>
    </chartFormat>
    <chartFormat chart="13" format="11" series="1">
      <pivotArea type="data" outline="0" fieldPosition="0">
        <references count="2">
          <reference field="4294967294" count="1" selected="0">
            <x v="0"/>
          </reference>
          <reference field="7" count="1" selected="0">
            <x v="1"/>
          </reference>
        </references>
      </pivotArea>
    </chartFormat>
    <chartFormat chart="13" format="12" series="1">
      <pivotArea type="data" outline="0" fieldPosition="0">
        <references count="2">
          <reference field="4294967294" count="1" selected="0">
            <x v="0"/>
          </reference>
          <reference field="7" count="1" selected="0">
            <x v="2"/>
          </reference>
        </references>
      </pivotArea>
    </chartFormat>
    <chartFormat chart="13" format="13" series="1">
      <pivotArea type="data" outline="0" fieldPosition="0">
        <references count="2">
          <reference field="4294967294" count="1" selected="0">
            <x v="0"/>
          </reference>
          <reference field="7" count="1" selected="0">
            <x v="3"/>
          </reference>
        </references>
      </pivotArea>
    </chartFormat>
    <chartFormat chart="13"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F9C0F2-1901-4F1E-BF1C-C16368F7875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0">
    <pivotField axis="axisRow" showAll="0">
      <items count="4">
        <item x="0"/>
        <item x="1"/>
        <item x="2"/>
        <item t="default"/>
      </items>
    </pivotField>
    <pivotField showAll="0"/>
    <pivotField axis="axisRow" showAll="0">
      <items count="4">
        <item x="1"/>
        <item x="2"/>
        <item x="0"/>
        <item t="default"/>
      </items>
    </pivotField>
    <pivotField showAll="0"/>
    <pivotField dataField="1" numFmtId="164" showAll="0">
      <items count="4">
        <item x="2"/>
        <item x="1"/>
        <item x="0"/>
        <item t="default"/>
      </items>
    </pivotField>
    <pivotField showAll="0"/>
    <pivotField showAll="0"/>
    <pivotField axis="axisRow" showAll="0">
      <items count="4">
        <item x="2"/>
        <item x="0"/>
        <item x="1"/>
        <item t="default"/>
      </items>
    </pivotField>
    <pivotField showAll="0"/>
    <pivotField showAll="0"/>
  </pivotFields>
  <rowFields count="3">
    <field x="0"/>
    <field x="2"/>
    <field x="7"/>
  </rowFields>
  <rowItems count="10">
    <i>
      <x/>
    </i>
    <i r="1">
      <x v="2"/>
    </i>
    <i r="2">
      <x v="1"/>
    </i>
    <i>
      <x v="1"/>
    </i>
    <i r="1">
      <x/>
    </i>
    <i r="2">
      <x v="2"/>
    </i>
    <i>
      <x v="2"/>
    </i>
    <i r="1">
      <x v="1"/>
    </i>
    <i r="2">
      <x/>
    </i>
    <i t="grand">
      <x/>
    </i>
  </rowItems>
  <colItems count="1">
    <i/>
  </colItems>
  <dataFields count="1">
    <dataField name="Sum of Budget_USD" fld="4" baseField="0" baseItem="0" numFmtId="164"/>
  </dataFields>
  <chartFormats count="7">
    <chartFormat chart="4" format="5" series="1">
      <pivotArea type="data" outline="0" fieldPosition="0">
        <references count="1">
          <reference field="4294967294" count="1" selected="0">
            <x v="0"/>
          </reference>
        </references>
      </pivotArea>
    </chartFormat>
    <chartFormat chart="4" format="6">
      <pivotArea type="data" outline="0" fieldPosition="0">
        <references count="3">
          <reference field="4294967294" count="1" selected="0">
            <x v="0"/>
          </reference>
          <reference field="0" count="1" selected="0">
            <x v="0"/>
          </reference>
          <reference field="2" count="1" selected="0">
            <x v="2"/>
          </reference>
        </references>
      </pivotArea>
    </chartFormat>
    <chartFormat chart="4" format="7">
      <pivotArea type="data" outline="0" fieldPosition="0">
        <references count="3">
          <reference field="4294967294" count="1" selected="0">
            <x v="0"/>
          </reference>
          <reference field="0" count="1" selected="0">
            <x v="1"/>
          </reference>
          <reference field="2" count="1" selected="0">
            <x v="0"/>
          </reference>
        </references>
      </pivotArea>
    </chartFormat>
    <chartFormat chart="4" format="8">
      <pivotArea type="data" outline="0" fieldPosition="0">
        <references count="3">
          <reference field="4294967294" count="1" selected="0">
            <x v="0"/>
          </reference>
          <reference field="0" count="1" selected="0">
            <x v="2"/>
          </reference>
          <reference field="2" count="1" selected="0">
            <x v="1"/>
          </reference>
        </references>
      </pivotArea>
    </chartFormat>
    <chartFormat chart="4" format="9">
      <pivotArea type="data" outline="0" fieldPosition="0">
        <references count="4">
          <reference field="4294967294" count="1" selected="0">
            <x v="0"/>
          </reference>
          <reference field="0" count="1" selected="0">
            <x v="0"/>
          </reference>
          <reference field="2" count="1" selected="0">
            <x v="2"/>
          </reference>
          <reference field="7" count="1" selected="0">
            <x v="1"/>
          </reference>
        </references>
      </pivotArea>
    </chartFormat>
    <chartFormat chart="4" format="10">
      <pivotArea type="data" outline="0" fieldPosition="0">
        <references count="4">
          <reference field="4294967294" count="1" selected="0">
            <x v="0"/>
          </reference>
          <reference field="0" count="1" selected="0">
            <x v="1"/>
          </reference>
          <reference field="2" count="1" selected="0">
            <x v="0"/>
          </reference>
          <reference field="7" count="1" selected="0">
            <x v="2"/>
          </reference>
        </references>
      </pivotArea>
    </chartFormat>
    <chartFormat chart="4" format="11">
      <pivotArea type="data" outline="0" fieldPosition="0">
        <references count="4">
          <reference field="4294967294" count="1" selected="0">
            <x v="0"/>
          </reference>
          <reference field="0" count="1" selected="0">
            <x v="2"/>
          </reference>
          <reference field="2" count="1" selected="0">
            <x v="1"/>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C7CCE-7A8F-4E2D-AFBB-200E4746BAA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axis="axisRow" showAll="0">
      <items count="2">
        <item x="0"/>
        <item t="default"/>
      </items>
    </pivotField>
    <pivotField showAll="0"/>
    <pivotField showAll="0"/>
    <pivotField showAll="0"/>
    <pivotField dataField="1" numFmtId="164" showAll="0">
      <items count="2">
        <item x="0"/>
        <item t="default"/>
      </items>
    </pivotField>
    <pivotField showAll="0"/>
    <pivotField showAll="0"/>
    <pivotField axis="axisRow" showAll="0">
      <items count="2">
        <item x="0"/>
        <item t="default"/>
      </items>
    </pivotField>
    <pivotField showAll="0"/>
    <pivotField showAll="0"/>
    <pivotField numFmtId="164" showAll="0"/>
  </pivotFields>
  <rowFields count="2">
    <field x="0"/>
    <field x="7"/>
  </rowFields>
  <rowItems count="3">
    <i>
      <x/>
    </i>
    <i r="1">
      <x/>
    </i>
    <i t="grand">
      <x/>
    </i>
  </rowItems>
  <colItems count="1">
    <i/>
  </colItems>
  <dataFields count="1">
    <dataField name="Sum of Budget_USD" fld="4" baseField="0" baseItem="0" numFmtId="164"/>
  </dataFields>
  <chartFormats count="2">
    <chartFormat chart="4" format="3" series="1">
      <pivotArea type="data" outline="0" fieldPosition="0">
        <references count="1">
          <reference field="4294967294" count="1" selected="0">
            <x v="0"/>
          </reference>
        </references>
      </pivotArea>
    </chartFormat>
    <chartFormat chart="4" format="4">
      <pivotArea type="data" outline="0" fieldPosition="0">
        <references count="3">
          <reference field="4294967294" count="1" selected="0">
            <x v="0"/>
          </reference>
          <reference field="0"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55D5B-6351-4036-89DB-8AE8DA4B1EA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8" firstHeaderRow="1" firstDataRow="1" firstDataCol="1"/>
  <pivotFields count="10">
    <pivotField axis="axisRow" showAll="0">
      <items count="8">
        <item x="0"/>
        <item x="1"/>
        <item x="2"/>
        <item x="3"/>
        <item x="4"/>
        <item x="5"/>
        <item x="6"/>
        <item t="default"/>
      </items>
    </pivotField>
    <pivotField showAll="0"/>
    <pivotField showAll="0"/>
    <pivotField showAll="0"/>
    <pivotField dataField="1" numFmtId="164" showAll="0">
      <items count="8">
        <item x="6"/>
        <item x="3"/>
        <item x="0"/>
        <item x="2"/>
        <item x="1"/>
        <item x="4"/>
        <item x="5"/>
        <item t="default"/>
      </items>
    </pivotField>
    <pivotField showAll="0"/>
    <pivotField showAll="0"/>
    <pivotField axis="axisRow" showAll="0">
      <items count="6">
        <item x="1"/>
        <item x="2"/>
        <item x="4"/>
        <item x="3"/>
        <item x="0"/>
        <item t="default"/>
      </items>
    </pivotField>
    <pivotField showAll="0">
      <items count="3">
        <item x="1"/>
        <item x="0"/>
        <item t="default"/>
      </items>
    </pivotField>
    <pivotField showAll="0"/>
  </pivotFields>
  <rowFields count="2">
    <field x="0"/>
    <field x="7"/>
  </rowFields>
  <rowItems count="15">
    <i>
      <x/>
    </i>
    <i r="1">
      <x v="4"/>
    </i>
    <i>
      <x v="1"/>
    </i>
    <i r="1">
      <x/>
    </i>
    <i>
      <x v="2"/>
    </i>
    <i r="1">
      <x v="4"/>
    </i>
    <i>
      <x v="3"/>
    </i>
    <i r="1">
      <x v="1"/>
    </i>
    <i>
      <x v="4"/>
    </i>
    <i r="1">
      <x v="4"/>
    </i>
    <i>
      <x v="5"/>
    </i>
    <i r="1">
      <x v="3"/>
    </i>
    <i>
      <x v="6"/>
    </i>
    <i r="1">
      <x v="2"/>
    </i>
    <i t="grand">
      <x/>
    </i>
  </rowItems>
  <colItems count="1">
    <i/>
  </colItems>
  <dataFields count="1">
    <dataField name="Sum of Budget_USD" fld="4" baseField="0" baseItem="0" numFmtId="164"/>
  </dataFields>
  <chartFormats count="8">
    <chartFormat chart="28" format="9" series="1">
      <pivotArea type="data" outline="0" fieldPosition="0">
        <references count="1">
          <reference field="4294967294" count="1" selected="0">
            <x v="0"/>
          </reference>
        </references>
      </pivotArea>
    </chartFormat>
    <chartFormat chart="28" format="10">
      <pivotArea type="data" outline="0" fieldPosition="0">
        <references count="3">
          <reference field="4294967294" count="1" selected="0">
            <x v="0"/>
          </reference>
          <reference field="0" count="1" selected="0">
            <x v="0"/>
          </reference>
          <reference field="7" count="1" selected="0">
            <x v="4"/>
          </reference>
        </references>
      </pivotArea>
    </chartFormat>
    <chartFormat chart="28" format="11">
      <pivotArea type="data" outline="0" fieldPosition="0">
        <references count="3">
          <reference field="4294967294" count="1" selected="0">
            <x v="0"/>
          </reference>
          <reference field="0" count="1" selected="0">
            <x v="1"/>
          </reference>
          <reference field="7" count="1" selected="0">
            <x v="0"/>
          </reference>
        </references>
      </pivotArea>
    </chartFormat>
    <chartFormat chart="28" format="12">
      <pivotArea type="data" outline="0" fieldPosition="0">
        <references count="3">
          <reference field="4294967294" count="1" selected="0">
            <x v="0"/>
          </reference>
          <reference field="0" count="1" selected="0">
            <x v="2"/>
          </reference>
          <reference field="7" count="1" selected="0">
            <x v="4"/>
          </reference>
        </references>
      </pivotArea>
    </chartFormat>
    <chartFormat chart="28" format="13">
      <pivotArea type="data" outline="0" fieldPosition="0">
        <references count="3">
          <reference field="4294967294" count="1" selected="0">
            <x v="0"/>
          </reference>
          <reference field="0" count="1" selected="0">
            <x v="3"/>
          </reference>
          <reference field="7" count="1" selected="0">
            <x v="1"/>
          </reference>
        </references>
      </pivotArea>
    </chartFormat>
    <chartFormat chart="28" format="14">
      <pivotArea type="data" outline="0" fieldPosition="0">
        <references count="3">
          <reference field="4294967294" count="1" selected="0">
            <x v="0"/>
          </reference>
          <reference field="0" count="1" selected="0">
            <x v="4"/>
          </reference>
          <reference field="7" count="1" selected="0">
            <x v="4"/>
          </reference>
        </references>
      </pivotArea>
    </chartFormat>
    <chartFormat chart="28" format="15">
      <pivotArea type="data" outline="0" fieldPosition="0">
        <references count="3">
          <reference field="4294967294" count="1" selected="0">
            <x v="0"/>
          </reference>
          <reference field="0" count="1" selected="0">
            <x v="5"/>
          </reference>
          <reference field="7" count="1" selected="0">
            <x v="3"/>
          </reference>
        </references>
      </pivotArea>
    </chartFormat>
    <chartFormat chart="28" format="16">
      <pivotArea type="data" outline="0" fieldPosition="0">
        <references count="3">
          <reference field="4294967294" count="1" selected="0">
            <x v="0"/>
          </reference>
          <reference field="0" count="1" selected="0">
            <x v="6"/>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B36E00-1017-479E-A505-5E1B2905788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10">
    <pivotField axis="axisRow" showAll="0">
      <items count="8">
        <item x="0"/>
        <item x="1"/>
        <item x="2"/>
        <item x="3"/>
        <item x="4"/>
        <item x="5"/>
        <item x="6"/>
        <item t="default"/>
      </items>
    </pivotField>
    <pivotField showAll="0"/>
    <pivotField showAll="0"/>
    <pivotField showAll="0"/>
    <pivotField dataField="1" numFmtId="164" showAll="0">
      <items count="8">
        <item x="0"/>
        <item x="4"/>
        <item x="2"/>
        <item x="6"/>
        <item x="5"/>
        <item x="3"/>
        <item x="1"/>
        <item t="default"/>
      </items>
    </pivotField>
    <pivotField showAll="0"/>
    <pivotField showAll="0"/>
    <pivotField axis="axisRow" showAll="0">
      <items count="4">
        <item x="2"/>
        <item x="1"/>
        <item x="0"/>
        <item t="default"/>
      </items>
    </pivotField>
    <pivotField showAll="0"/>
    <pivotField showAll="0"/>
  </pivotFields>
  <rowFields count="2">
    <field x="0"/>
    <field x="7"/>
  </rowFields>
  <rowItems count="15">
    <i>
      <x/>
    </i>
    <i r="1">
      <x v="2"/>
    </i>
    <i>
      <x v="1"/>
    </i>
    <i r="1">
      <x v="1"/>
    </i>
    <i>
      <x v="2"/>
    </i>
    <i r="1">
      <x/>
    </i>
    <i>
      <x v="3"/>
    </i>
    <i r="1">
      <x v="1"/>
    </i>
    <i>
      <x v="4"/>
    </i>
    <i r="1">
      <x v="1"/>
    </i>
    <i>
      <x v="5"/>
    </i>
    <i r="1">
      <x/>
    </i>
    <i>
      <x v="6"/>
    </i>
    <i r="1">
      <x/>
    </i>
    <i t="grand">
      <x/>
    </i>
  </rowItems>
  <colItems count="1">
    <i/>
  </colItems>
  <dataFields count="1">
    <dataField name="Sum of Budget_USD" fld="4" baseField="0" baseItem="0" numFmtId="164"/>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3">
          <reference field="4294967294" count="1" selected="0">
            <x v="0"/>
          </reference>
          <reference field="0" count="1" selected="0">
            <x v="0"/>
          </reference>
          <reference field="7" count="1" selected="0">
            <x v="2"/>
          </reference>
        </references>
      </pivotArea>
    </chartFormat>
    <chartFormat chart="4" format="11">
      <pivotArea type="data" outline="0" fieldPosition="0">
        <references count="3">
          <reference field="4294967294" count="1" selected="0">
            <x v="0"/>
          </reference>
          <reference field="0" count="1" selected="0">
            <x v="1"/>
          </reference>
          <reference field="7" count="1" selected="0">
            <x v="1"/>
          </reference>
        </references>
      </pivotArea>
    </chartFormat>
    <chartFormat chart="4" format="12">
      <pivotArea type="data" outline="0" fieldPosition="0">
        <references count="3">
          <reference field="4294967294" count="1" selected="0">
            <x v="0"/>
          </reference>
          <reference field="0" count="1" selected="0">
            <x v="2"/>
          </reference>
          <reference field="7" count="1" selected="0">
            <x v="0"/>
          </reference>
        </references>
      </pivotArea>
    </chartFormat>
    <chartFormat chart="4" format="13">
      <pivotArea type="data" outline="0" fieldPosition="0">
        <references count="3">
          <reference field="4294967294" count="1" selected="0">
            <x v="0"/>
          </reference>
          <reference field="0" count="1" selected="0">
            <x v="3"/>
          </reference>
          <reference field="7" count="1" selected="0">
            <x v="1"/>
          </reference>
        </references>
      </pivotArea>
    </chartFormat>
    <chartFormat chart="4" format="14">
      <pivotArea type="data" outline="0" fieldPosition="0">
        <references count="3">
          <reference field="4294967294" count="1" selected="0">
            <x v="0"/>
          </reference>
          <reference field="0" count="1" selected="0">
            <x v="4"/>
          </reference>
          <reference field="7" count="1" selected="0">
            <x v="1"/>
          </reference>
        </references>
      </pivotArea>
    </chartFormat>
    <chartFormat chart="4" format="15">
      <pivotArea type="data" outline="0" fieldPosition="0">
        <references count="3">
          <reference field="4294967294" count="1" selected="0">
            <x v="0"/>
          </reference>
          <reference field="0" count="1" selected="0">
            <x v="5"/>
          </reference>
          <reference field="7" count="1" selected="0">
            <x v="0"/>
          </reference>
        </references>
      </pivotArea>
    </chartFormat>
    <chartFormat chart="4" format="16">
      <pivotArea type="data" outline="0" fieldPosition="0">
        <references count="3">
          <reference field="4294967294" count="1" selected="0">
            <x v="0"/>
          </reference>
          <reference field="0" count="1" selected="0">
            <x v="6"/>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05AD0-62F6-4009-943A-DE9BCF2E45D1}"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0">
    <pivotField axis="axisRow" showAll="0">
      <items count="6">
        <item x="0"/>
        <item x="1"/>
        <item x="2"/>
        <item x="3"/>
        <item x="4"/>
        <item t="default"/>
      </items>
    </pivotField>
    <pivotField showAll="0"/>
    <pivotField showAll="0"/>
    <pivotField showAll="0"/>
    <pivotField dataField="1" numFmtId="164" showAll="0">
      <items count="6">
        <item x="3"/>
        <item x="0"/>
        <item x="2"/>
        <item x="4"/>
        <item x="1"/>
        <item t="default"/>
      </items>
    </pivotField>
    <pivotField showAll="0"/>
    <pivotField showAll="0"/>
    <pivotField axis="axisRow" showAll="0">
      <items count="4">
        <item x="1"/>
        <item x="2"/>
        <item x="0"/>
        <item t="default"/>
      </items>
    </pivotField>
    <pivotField showAll="0"/>
    <pivotField showAll="0"/>
  </pivotFields>
  <rowFields count="2">
    <field x="0"/>
    <field x="7"/>
  </rowFields>
  <rowItems count="11">
    <i>
      <x/>
    </i>
    <i r="1">
      <x v="2"/>
    </i>
    <i>
      <x v="1"/>
    </i>
    <i r="1">
      <x/>
    </i>
    <i>
      <x v="2"/>
    </i>
    <i r="1">
      <x v="1"/>
    </i>
    <i>
      <x v="3"/>
    </i>
    <i r="1">
      <x v="2"/>
    </i>
    <i>
      <x v="4"/>
    </i>
    <i r="1">
      <x v="1"/>
    </i>
    <i t="grand">
      <x/>
    </i>
  </rowItems>
  <colItems count="1">
    <i/>
  </colItems>
  <dataFields count="1">
    <dataField name="Sum of Budget_USD" fld="4" baseField="0" baseItem="0" numFmtId="164"/>
  </dataFields>
  <chartFormats count="6">
    <chartFormat chart="18" format="7" series="1">
      <pivotArea type="data" outline="0" fieldPosition="0">
        <references count="1">
          <reference field="4294967294" count="1" selected="0">
            <x v="0"/>
          </reference>
        </references>
      </pivotArea>
    </chartFormat>
    <chartFormat chart="18" format="8">
      <pivotArea type="data" outline="0" fieldPosition="0">
        <references count="3">
          <reference field="4294967294" count="1" selected="0">
            <x v="0"/>
          </reference>
          <reference field="0" count="1" selected="0">
            <x v="0"/>
          </reference>
          <reference field="7" count="1" selected="0">
            <x v="2"/>
          </reference>
        </references>
      </pivotArea>
    </chartFormat>
    <chartFormat chart="18" format="9">
      <pivotArea type="data" outline="0" fieldPosition="0">
        <references count="3">
          <reference field="4294967294" count="1" selected="0">
            <x v="0"/>
          </reference>
          <reference field="0" count="1" selected="0">
            <x v="1"/>
          </reference>
          <reference field="7" count="1" selected="0">
            <x v="0"/>
          </reference>
        </references>
      </pivotArea>
    </chartFormat>
    <chartFormat chart="18" format="10">
      <pivotArea type="data" outline="0" fieldPosition="0">
        <references count="3">
          <reference field="4294967294" count="1" selected="0">
            <x v="0"/>
          </reference>
          <reference field="0" count="1" selected="0">
            <x v="2"/>
          </reference>
          <reference field="7" count="1" selected="0">
            <x v="1"/>
          </reference>
        </references>
      </pivotArea>
    </chartFormat>
    <chartFormat chart="18" format="11">
      <pivotArea type="data" outline="0" fieldPosition="0">
        <references count="3">
          <reference field="4294967294" count="1" selected="0">
            <x v="0"/>
          </reference>
          <reference field="0" count="1" selected="0">
            <x v="3"/>
          </reference>
          <reference field="7" count="1" selected="0">
            <x v="2"/>
          </reference>
        </references>
      </pivotArea>
    </chartFormat>
    <chartFormat chart="18" format="12">
      <pivotArea type="data" outline="0" fieldPosition="0">
        <references count="3">
          <reference field="4294967294" count="1" selected="0">
            <x v="0"/>
          </reference>
          <reference field="0" count="1" selected="0">
            <x v="4"/>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D715BB-8967-48CE-9B14-3B836CB47C32}"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0">
    <pivotField axis="axisRow" showAll="0">
      <items count="5">
        <item x="0"/>
        <item x="1"/>
        <item x="2"/>
        <item x="3"/>
        <item t="default"/>
      </items>
    </pivotField>
    <pivotField showAll="0"/>
    <pivotField showAll="0"/>
    <pivotField showAll="0"/>
    <pivotField dataField="1" numFmtId="164" showAll="0">
      <items count="5">
        <item x="0"/>
        <item x="2"/>
        <item x="1"/>
        <item x="3"/>
        <item t="default"/>
      </items>
    </pivotField>
    <pivotField showAll="0"/>
    <pivotField showAll="0"/>
    <pivotField axis="axisRow" showAll="0">
      <items count="4">
        <item x="0"/>
        <item x="1"/>
        <item x="2"/>
        <item t="default"/>
      </items>
    </pivotField>
    <pivotField showAll="0"/>
    <pivotField showAll="0"/>
  </pivotFields>
  <rowFields count="2">
    <field x="0"/>
    <field x="7"/>
  </rowFields>
  <rowItems count="9">
    <i>
      <x/>
    </i>
    <i r="1">
      <x/>
    </i>
    <i>
      <x v="1"/>
    </i>
    <i r="1">
      <x/>
    </i>
    <i>
      <x v="2"/>
    </i>
    <i r="1">
      <x v="1"/>
    </i>
    <i>
      <x v="3"/>
    </i>
    <i r="1">
      <x v="2"/>
    </i>
    <i t="grand">
      <x/>
    </i>
  </rowItems>
  <colItems count="1">
    <i/>
  </colItems>
  <dataFields count="1">
    <dataField name="Sum of Budget_USD" fld="4"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F4B973-83F4-4786-988B-3D854865F639}"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0">
    <pivotField axis="axisRow" showAll="0">
      <items count="3">
        <item x="0"/>
        <item x="1"/>
        <item t="default"/>
      </items>
    </pivotField>
    <pivotField showAll="0"/>
    <pivotField showAll="0"/>
    <pivotField showAll="0">
      <items count="2">
        <item x="0"/>
        <item t="default"/>
      </items>
    </pivotField>
    <pivotField dataField="1" numFmtId="164" showAll="0">
      <items count="3">
        <item x="0"/>
        <item x="1"/>
        <item t="default"/>
      </items>
    </pivotField>
    <pivotField showAll="0"/>
    <pivotField showAll="0"/>
    <pivotField axis="axisRow" showAll="0">
      <items count="3">
        <item x="0"/>
        <item x="1"/>
        <item t="default"/>
      </items>
    </pivotField>
    <pivotField showAll="0"/>
    <pivotField showAll="0"/>
  </pivotFields>
  <rowFields count="2">
    <field x="0"/>
    <field x="7"/>
  </rowFields>
  <rowItems count="5">
    <i>
      <x/>
    </i>
    <i r="1">
      <x/>
    </i>
    <i>
      <x v="1"/>
    </i>
    <i r="1">
      <x v="1"/>
    </i>
    <i t="grand">
      <x/>
    </i>
  </rowItems>
  <colItems count="1">
    <i/>
  </colItems>
  <dataFields count="1">
    <dataField name="Sum of Budget_USD" fld="4" baseField="0" baseItem="0" numFmtId="164"/>
  </dataField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3">
          <reference field="4294967294" count="1" selected="0">
            <x v="0"/>
          </reference>
          <reference field="0" count="1" selected="0">
            <x v="0"/>
          </reference>
          <reference field="7" count="1" selected="0">
            <x v="0"/>
          </reference>
        </references>
      </pivotArea>
    </chartFormat>
    <chartFormat chart="12" format="6">
      <pivotArea type="data" outline="0" fieldPosition="0">
        <references count="3">
          <reference field="4294967294" count="1" selected="0">
            <x v="0"/>
          </reference>
          <reference field="0"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C83454-E6AB-4370-AD8E-EF800A6A493B}"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0">
    <pivotField axis="axisRow" showAll="0">
      <items count="2">
        <item x="0"/>
        <item t="default"/>
      </items>
    </pivotField>
    <pivotField showAll="0"/>
    <pivotField showAll="0">
      <items count="2">
        <item x="0"/>
        <item t="default"/>
      </items>
    </pivotField>
    <pivotField showAll="0"/>
    <pivotField dataField="1" numFmtId="164" showAll="0">
      <items count="2">
        <item x="0"/>
        <item t="default"/>
      </items>
    </pivotField>
    <pivotField showAll="0"/>
    <pivotField showAll="0"/>
    <pivotField axis="axisRow" showAll="0">
      <items count="2">
        <item x="0"/>
        <item t="default"/>
      </items>
    </pivotField>
    <pivotField showAll="0"/>
    <pivotField showAll="0"/>
  </pivotFields>
  <rowFields count="2">
    <field x="0"/>
    <field x="7"/>
  </rowFields>
  <rowItems count="3">
    <i>
      <x/>
    </i>
    <i r="1">
      <x/>
    </i>
    <i t="grand">
      <x/>
    </i>
  </rowItems>
  <colItems count="1">
    <i/>
  </colItems>
  <dataFields count="1">
    <dataField name="Sum of Budget_USD" fld="4"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30BD2B-EB69-4999-ADF8-30E2EF882B97}"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0">
    <pivotField axis="axisRow" showAll="0">
      <items count="5">
        <item x="0"/>
        <item x="1"/>
        <item x="2"/>
        <item x="3"/>
        <item t="default"/>
      </items>
    </pivotField>
    <pivotField showAll="0"/>
    <pivotField showAll="0"/>
    <pivotField showAll="0"/>
    <pivotField dataField="1" numFmtId="164" showAll="0">
      <items count="5">
        <item x="0"/>
        <item x="1"/>
        <item x="3"/>
        <item x="2"/>
        <item t="default"/>
      </items>
    </pivotField>
    <pivotField showAll="0"/>
    <pivotField showAll="0"/>
    <pivotField axis="axisRow" showAll="0">
      <items count="5">
        <item x="3"/>
        <item x="2"/>
        <item x="1"/>
        <item x="0"/>
        <item t="default"/>
      </items>
    </pivotField>
    <pivotField showAll="0"/>
    <pivotField showAll="0"/>
  </pivotFields>
  <rowFields count="2">
    <field x="0"/>
    <field x="7"/>
  </rowFields>
  <rowItems count="9">
    <i>
      <x/>
    </i>
    <i r="1">
      <x v="3"/>
    </i>
    <i>
      <x v="1"/>
    </i>
    <i r="1">
      <x v="2"/>
    </i>
    <i>
      <x v="2"/>
    </i>
    <i r="1">
      <x v="1"/>
    </i>
    <i>
      <x v="3"/>
    </i>
    <i r="1">
      <x/>
    </i>
    <i t="grand">
      <x/>
    </i>
  </rowItems>
  <colItems count="1">
    <i/>
  </colItems>
  <dataFields count="1">
    <dataField name="Sum of Budget_USD" fld="4" baseField="0" baseItem="0" numFmtId="164"/>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3">
          <reference field="4294967294" count="1" selected="0">
            <x v="0"/>
          </reference>
          <reference field="0" count="1" selected="0">
            <x v="0"/>
          </reference>
          <reference field="7" count="1" selected="0">
            <x v="3"/>
          </reference>
        </references>
      </pivotArea>
    </chartFormat>
    <chartFormat chart="4" format="8">
      <pivotArea type="data" outline="0" fieldPosition="0">
        <references count="3">
          <reference field="4294967294" count="1" selected="0">
            <x v="0"/>
          </reference>
          <reference field="0" count="1" selected="0">
            <x v="1"/>
          </reference>
          <reference field="7" count="1" selected="0">
            <x v="2"/>
          </reference>
        </references>
      </pivotArea>
    </chartFormat>
    <chartFormat chart="4" format="9">
      <pivotArea type="data" outline="0" fieldPosition="0">
        <references count="3">
          <reference field="4294967294" count="1" selected="0">
            <x v="0"/>
          </reference>
          <reference field="0" count="1" selected="0">
            <x v="2"/>
          </reference>
          <reference field="7" count="1" selected="0">
            <x v="1"/>
          </reference>
        </references>
      </pivotArea>
    </chartFormat>
    <chartFormat chart="4" format="10">
      <pivotArea type="data" outline="0" fieldPosition="0">
        <references count="3">
          <reference field="4294967294" count="1" selected="0">
            <x v="0"/>
          </reference>
          <reference field="0" count="1" selected="0">
            <x v="3"/>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5B7462-E364-44C9-B621-CF748E8E3AAC}"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0" firstHeaderRow="1" firstDataRow="1" firstDataCol="1"/>
  <pivotFields count="10">
    <pivotField axis="axisRow" showAll="0">
      <items count="9">
        <item x="0"/>
        <item x="1"/>
        <item x="2"/>
        <item x="3"/>
        <item x="4"/>
        <item x="5"/>
        <item x="6"/>
        <item x="7"/>
        <item t="default"/>
      </items>
    </pivotField>
    <pivotField showAll="0"/>
    <pivotField showAll="0"/>
    <pivotField showAll="0"/>
    <pivotField dataField="1" numFmtId="164" showAll="0">
      <items count="9">
        <item x="5"/>
        <item x="6"/>
        <item x="2"/>
        <item x="1"/>
        <item x="3"/>
        <item x="0"/>
        <item x="7"/>
        <item x="4"/>
        <item t="default"/>
      </items>
    </pivotField>
    <pivotField showAll="0"/>
    <pivotField showAll="0"/>
    <pivotField axis="axisRow" showAll="0">
      <items count="7">
        <item x="4"/>
        <item x="1"/>
        <item x="0"/>
        <item x="3"/>
        <item x="2"/>
        <item x="5"/>
        <item t="default"/>
      </items>
    </pivotField>
    <pivotField showAll="0"/>
    <pivotField showAll="0"/>
  </pivotFields>
  <rowFields count="2">
    <field x="0"/>
    <field x="7"/>
  </rowFields>
  <rowItems count="17">
    <i>
      <x/>
    </i>
    <i r="1">
      <x v="2"/>
    </i>
    <i>
      <x v="1"/>
    </i>
    <i r="1">
      <x v="1"/>
    </i>
    <i>
      <x v="2"/>
    </i>
    <i r="1">
      <x v="4"/>
    </i>
    <i>
      <x v="3"/>
    </i>
    <i r="1">
      <x v="4"/>
    </i>
    <i>
      <x v="4"/>
    </i>
    <i r="1">
      <x v="3"/>
    </i>
    <i>
      <x v="5"/>
    </i>
    <i r="1">
      <x v="3"/>
    </i>
    <i>
      <x v="6"/>
    </i>
    <i r="1">
      <x/>
    </i>
    <i>
      <x v="7"/>
    </i>
    <i r="1">
      <x v="5"/>
    </i>
    <i t="grand">
      <x/>
    </i>
  </rowItems>
  <colItems count="1">
    <i/>
  </colItems>
  <dataFields count="1">
    <dataField name="Sum of Budget_USD" fld="4" baseField="0" baseItem="0" numFmtId="164"/>
  </dataFields>
  <chartFormats count="9">
    <chartFormat chart="4" format="10" series="1">
      <pivotArea type="data" outline="0" fieldPosition="0">
        <references count="1">
          <reference field="4294967294" count="1" selected="0">
            <x v="0"/>
          </reference>
        </references>
      </pivotArea>
    </chartFormat>
    <chartFormat chart="4" format="11">
      <pivotArea type="data" outline="0" fieldPosition="0">
        <references count="3">
          <reference field="4294967294" count="1" selected="0">
            <x v="0"/>
          </reference>
          <reference field="0" count="1" selected="0">
            <x v="0"/>
          </reference>
          <reference field="7" count="1" selected="0">
            <x v="2"/>
          </reference>
        </references>
      </pivotArea>
    </chartFormat>
    <chartFormat chart="4" format="12">
      <pivotArea type="data" outline="0" fieldPosition="0">
        <references count="3">
          <reference field="4294967294" count="1" selected="0">
            <x v="0"/>
          </reference>
          <reference field="0" count="1" selected="0">
            <x v="1"/>
          </reference>
          <reference field="7" count="1" selected="0">
            <x v="1"/>
          </reference>
        </references>
      </pivotArea>
    </chartFormat>
    <chartFormat chart="4" format="13">
      <pivotArea type="data" outline="0" fieldPosition="0">
        <references count="3">
          <reference field="4294967294" count="1" selected="0">
            <x v="0"/>
          </reference>
          <reference field="0" count="1" selected="0">
            <x v="2"/>
          </reference>
          <reference field="7" count="1" selected="0">
            <x v="4"/>
          </reference>
        </references>
      </pivotArea>
    </chartFormat>
    <chartFormat chart="4" format="14">
      <pivotArea type="data" outline="0" fieldPosition="0">
        <references count="3">
          <reference field="4294967294" count="1" selected="0">
            <x v="0"/>
          </reference>
          <reference field="0" count="1" selected="0">
            <x v="3"/>
          </reference>
          <reference field="7" count="1" selected="0">
            <x v="4"/>
          </reference>
        </references>
      </pivotArea>
    </chartFormat>
    <chartFormat chart="4" format="15">
      <pivotArea type="data" outline="0" fieldPosition="0">
        <references count="3">
          <reference field="4294967294" count="1" selected="0">
            <x v="0"/>
          </reference>
          <reference field="0" count="1" selected="0">
            <x v="4"/>
          </reference>
          <reference field="7" count="1" selected="0">
            <x v="3"/>
          </reference>
        </references>
      </pivotArea>
    </chartFormat>
    <chartFormat chart="4" format="16">
      <pivotArea type="data" outline="0" fieldPosition="0">
        <references count="3">
          <reference field="4294967294" count="1" selected="0">
            <x v="0"/>
          </reference>
          <reference field="0" count="1" selected="0">
            <x v="5"/>
          </reference>
          <reference field="7" count="1" selected="0">
            <x v="3"/>
          </reference>
        </references>
      </pivotArea>
    </chartFormat>
    <chartFormat chart="4" format="17">
      <pivotArea type="data" outline="0" fieldPosition="0">
        <references count="3">
          <reference field="4294967294" count="1" selected="0">
            <x v="0"/>
          </reference>
          <reference field="0" count="1" selected="0">
            <x v="6"/>
          </reference>
          <reference field="7" count="1" selected="0">
            <x v="0"/>
          </reference>
        </references>
      </pivotArea>
    </chartFormat>
    <chartFormat chart="4" format="18">
      <pivotArea type="data" outline="0" fieldPosition="0">
        <references count="3">
          <reference field="4294967294" count="1" selected="0">
            <x v="0"/>
          </reference>
          <reference field="0" count="1" selected="0">
            <x v="7"/>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80087C-80B1-4DC6-BC52-509F6C134166}"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10">
    <pivotField axis="axisRow" showAll="0">
      <items count="9">
        <item x="0"/>
        <item x="1"/>
        <item x="2"/>
        <item x="3"/>
        <item x="4"/>
        <item x="5"/>
        <item x="6"/>
        <item x="7"/>
        <item t="default"/>
      </items>
    </pivotField>
    <pivotField showAll="0"/>
    <pivotField showAll="0"/>
    <pivotField showAll="0"/>
    <pivotField dataField="1" numFmtId="164" showAll="0">
      <items count="9">
        <item x="2"/>
        <item x="7"/>
        <item x="0"/>
        <item x="4"/>
        <item x="1"/>
        <item x="6"/>
        <item x="5"/>
        <item x="3"/>
        <item t="default"/>
      </items>
    </pivotField>
    <pivotField showAll="0"/>
    <pivotField showAll="0"/>
    <pivotField axis="axisRow" showAll="0">
      <items count="7">
        <item x="0"/>
        <item x="4"/>
        <item x="3"/>
        <item x="5"/>
        <item x="2"/>
        <item x="1"/>
        <item t="default"/>
      </items>
    </pivotField>
    <pivotField showAll="0"/>
    <pivotField showAll="0"/>
  </pivotFields>
  <rowFields count="2">
    <field x="0"/>
    <field x="7"/>
  </rowFields>
  <rowItems count="17">
    <i>
      <x/>
    </i>
    <i r="1">
      <x/>
    </i>
    <i>
      <x v="1"/>
    </i>
    <i r="1">
      <x v="5"/>
    </i>
    <i>
      <x v="2"/>
    </i>
    <i r="1">
      <x v="4"/>
    </i>
    <i>
      <x v="3"/>
    </i>
    <i r="1">
      <x v="2"/>
    </i>
    <i>
      <x v="4"/>
    </i>
    <i r="1">
      <x v="1"/>
    </i>
    <i>
      <x v="5"/>
    </i>
    <i r="1">
      <x v="3"/>
    </i>
    <i>
      <x v="6"/>
    </i>
    <i r="1">
      <x/>
    </i>
    <i>
      <x v="7"/>
    </i>
    <i r="1">
      <x v="2"/>
    </i>
    <i t="grand">
      <x/>
    </i>
  </rowItems>
  <colItems count="1">
    <i/>
  </colItems>
  <dataFields count="1">
    <dataField name="Sum of Budget_USD" fld="4"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92844D-2D5F-471F-875B-95B08EFE5F97}" name="PivotTable1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0">
    <pivotField axis="axisRow" showAll="0">
      <items count="7">
        <item x="0"/>
        <item x="1"/>
        <item x="2"/>
        <item x="3"/>
        <item x="4"/>
        <item x="5"/>
        <item t="default"/>
      </items>
    </pivotField>
    <pivotField showAll="0"/>
    <pivotField showAll="0"/>
    <pivotField showAll="0"/>
    <pivotField dataField="1" numFmtId="164" showAll="0">
      <items count="7">
        <item x="4"/>
        <item x="3"/>
        <item x="5"/>
        <item x="1"/>
        <item x="0"/>
        <item x="2"/>
        <item t="default"/>
      </items>
    </pivotField>
    <pivotField showAll="0"/>
    <pivotField showAll="0"/>
    <pivotField axis="axisRow" showAll="0">
      <items count="6">
        <item x="2"/>
        <item x="1"/>
        <item x="4"/>
        <item x="0"/>
        <item x="3"/>
        <item t="default"/>
      </items>
    </pivotField>
    <pivotField showAll="0"/>
    <pivotField showAll="0"/>
  </pivotFields>
  <rowFields count="2">
    <field x="0"/>
    <field x="7"/>
  </rowFields>
  <rowItems count="13">
    <i>
      <x/>
    </i>
    <i r="1">
      <x v="3"/>
    </i>
    <i>
      <x v="1"/>
    </i>
    <i r="1">
      <x v="1"/>
    </i>
    <i>
      <x v="2"/>
    </i>
    <i r="1">
      <x/>
    </i>
    <i>
      <x v="3"/>
    </i>
    <i r="1">
      <x v="4"/>
    </i>
    <i>
      <x v="4"/>
    </i>
    <i r="1">
      <x v="2"/>
    </i>
    <i>
      <x v="5"/>
    </i>
    <i r="1">
      <x v="2"/>
    </i>
    <i t="grand">
      <x/>
    </i>
  </rowItems>
  <colItems count="1">
    <i/>
  </colItems>
  <dataFields count="1">
    <dataField name="Sum of Budget_USD" fld="4" baseField="0" baseItem="0" numFmtId="164"/>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3">
          <reference field="4294967294" count="1" selected="0">
            <x v="0"/>
          </reference>
          <reference field="0" count="1" selected="0">
            <x v="0"/>
          </reference>
          <reference field="7" count="1" selected="0">
            <x v="3"/>
          </reference>
        </references>
      </pivotArea>
    </chartFormat>
    <chartFormat chart="4" format="10">
      <pivotArea type="data" outline="0" fieldPosition="0">
        <references count="3">
          <reference field="4294967294" count="1" selected="0">
            <x v="0"/>
          </reference>
          <reference field="0" count="1" selected="0">
            <x v="1"/>
          </reference>
          <reference field="7" count="1" selected="0">
            <x v="1"/>
          </reference>
        </references>
      </pivotArea>
    </chartFormat>
    <chartFormat chart="4" format="11">
      <pivotArea type="data" outline="0" fieldPosition="0">
        <references count="3">
          <reference field="4294967294" count="1" selected="0">
            <x v="0"/>
          </reference>
          <reference field="0" count="1" selected="0">
            <x v="2"/>
          </reference>
          <reference field="7" count="1" selected="0">
            <x v="0"/>
          </reference>
        </references>
      </pivotArea>
    </chartFormat>
    <chartFormat chart="4" format="12">
      <pivotArea type="data" outline="0" fieldPosition="0">
        <references count="3">
          <reference field="4294967294" count="1" selected="0">
            <x v="0"/>
          </reference>
          <reference field="0" count="1" selected="0">
            <x v="3"/>
          </reference>
          <reference field="7" count="1" selected="0">
            <x v="4"/>
          </reference>
        </references>
      </pivotArea>
    </chartFormat>
    <chartFormat chart="4" format="13">
      <pivotArea type="data" outline="0" fieldPosition="0">
        <references count="3">
          <reference field="4294967294" count="1" selected="0">
            <x v="0"/>
          </reference>
          <reference field="0" count="1" selected="0">
            <x v="4"/>
          </reference>
          <reference field="7" count="1" selected="0">
            <x v="2"/>
          </reference>
        </references>
      </pivotArea>
    </chartFormat>
    <chartFormat chart="4" format="14">
      <pivotArea type="data" outline="0" fieldPosition="0">
        <references count="3">
          <reference field="4294967294" count="1" selected="0">
            <x v="0"/>
          </reference>
          <reference field="0" count="1" selected="0">
            <x v="5"/>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89733C-3C61-4A33-9124-CBE7DFF87475}"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0">
    <pivotField axis="axisRow" showAll="0">
      <items count="6">
        <item x="0"/>
        <item x="1"/>
        <item x="2"/>
        <item x="3"/>
        <item x="4"/>
        <item t="default"/>
      </items>
    </pivotField>
    <pivotField showAll="0"/>
    <pivotField showAll="0"/>
    <pivotField showAll="0"/>
    <pivotField dataField="1" numFmtId="164" showAll="0"/>
    <pivotField showAll="0"/>
    <pivotField showAll="0"/>
    <pivotField axis="axisRow" showAll="0">
      <items count="6">
        <item x="1"/>
        <item x="4"/>
        <item x="3"/>
        <item x="2"/>
        <item x="0"/>
        <item t="default"/>
      </items>
    </pivotField>
    <pivotField showAll="0"/>
    <pivotField showAll="0"/>
  </pivotFields>
  <rowFields count="2">
    <field x="0"/>
    <field x="7"/>
  </rowFields>
  <rowItems count="11">
    <i>
      <x/>
    </i>
    <i r="1">
      <x v="4"/>
    </i>
    <i>
      <x v="1"/>
    </i>
    <i r="1">
      <x/>
    </i>
    <i>
      <x v="2"/>
    </i>
    <i r="1">
      <x v="3"/>
    </i>
    <i>
      <x v="3"/>
    </i>
    <i r="1">
      <x v="2"/>
    </i>
    <i>
      <x v="4"/>
    </i>
    <i r="1">
      <x v="1"/>
    </i>
    <i t="grand">
      <x/>
    </i>
  </rowItems>
  <colItems count="1">
    <i/>
  </colItems>
  <dataFields count="1">
    <dataField name="Sum of Budget_USD" fld="4" baseField="0" baseItem="0" numFmtId="164"/>
  </dataFields>
  <chartFormats count="18">
    <chartFormat chart="4" format="7" series="1">
      <pivotArea type="data" outline="0" fieldPosition="0">
        <references count="1">
          <reference field="4294967294" count="1" selected="0">
            <x v="0"/>
          </reference>
        </references>
      </pivotArea>
    </chartFormat>
    <chartFormat chart="4" format="8">
      <pivotArea type="data" outline="0" fieldPosition="0">
        <references count="3">
          <reference field="4294967294" count="1" selected="0">
            <x v="0"/>
          </reference>
          <reference field="0" count="1" selected="0">
            <x v="0"/>
          </reference>
          <reference field="7" count="1" selected="0">
            <x v="4"/>
          </reference>
        </references>
      </pivotArea>
    </chartFormat>
    <chartFormat chart="4" format="9">
      <pivotArea type="data" outline="0" fieldPosition="0">
        <references count="3">
          <reference field="4294967294" count="1" selected="0">
            <x v="0"/>
          </reference>
          <reference field="0" count="1" selected="0">
            <x v="1"/>
          </reference>
          <reference field="7" count="1" selected="0">
            <x v="0"/>
          </reference>
        </references>
      </pivotArea>
    </chartFormat>
    <chartFormat chart="4" format="10">
      <pivotArea type="data" outline="0" fieldPosition="0">
        <references count="3">
          <reference field="4294967294" count="1" selected="0">
            <x v="0"/>
          </reference>
          <reference field="0" count="1" selected="0">
            <x v="2"/>
          </reference>
          <reference field="7" count="1" selected="0">
            <x v="3"/>
          </reference>
        </references>
      </pivotArea>
    </chartFormat>
    <chartFormat chart="4" format="11">
      <pivotArea type="data" outline="0" fieldPosition="0">
        <references count="3">
          <reference field="4294967294" count="1" selected="0">
            <x v="0"/>
          </reference>
          <reference field="0" count="1" selected="0">
            <x v="3"/>
          </reference>
          <reference field="7" count="1" selected="0">
            <x v="2"/>
          </reference>
        </references>
      </pivotArea>
    </chartFormat>
    <chartFormat chart="4" format="12">
      <pivotArea type="data" outline="0" fieldPosition="0">
        <references count="3">
          <reference field="4294967294" count="1" selected="0">
            <x v="0"/>
          </reference>
          <reference field="0" count="1" selected="0">
            <x v="4"/>
          </reference>
          <reference field="7" count="1" selected="0">
            <x v="1"/>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3">
          <reference field="4294967294" count="1" selected="0">
            <x v="0"/>
          </reference>
          <reference field="0" count="1" selected="0">
            <x v="0"/>
          </reference>
          <reference field="7" count="1" selected="0">
            <x v="4"/>
          </reference>
        </references>
      </pivotArea>
    </chartFormat>
    <chartFormat chart="10" format="20">
      <pivotArea type="data" outline="0" fieldPosition="0">
        <references count="3">
          <reference field="4294967294" count="1" selected="0">
            <x v="0"/>
          </reference>
          <reference field="0" count="1" selected="0">
            <x v="1"/>
          </reference>
          <reference field="7" count="1" selected="0">
            <x v="0"/>
          </reference>
        </references>
      </pivotArea>
    </chartFormat>
    <chartFormat chart="10" format="21">
      <pivotArea type="data" outline="0" fieldPosition="0">
        <references count="3">
          <reference field="4294967294" count="1" selected="0">
            <x v="0"/>
          </reference>
          <reference field="0" count="1" selected="0">
            <x v="2"/>
          </reference>
          <reference field="7" count="1" selected="0">
            <x v="3"/>
          </reference>
        </references>
      </pivotArea>
    </chartFormat>
    <chartFormat chart="10" format="22">
      <pivotArea type="data" outline="0" fieldPosition="0">
        <references count="3">
          <reference field="4294967294" count="1" selected="0">
            <x v="0"/>
          </reference>
          <reference field="0" count="1" selected="0">
            <x v="3"/>
          </reference>
          <reference field="7" count="1" selected="0">
            <x v="2"/>
          </reference>
        </references>
      </pivotArea>
    </chartFormat>
    <chartFormat chart="10" format="23">
      <pivotArea type="data" outline="0" fieldPosition="0">
        <references count="3">
          <reference field="4294967294" count="1" selected="0">
            <x v="0"/>
          </reference>
          <reference field="0" count="1" selected="0">
            <x v="4"/>
          </reference>
          <reference field="7" count="1" selected="0">
            <x v="1"/>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3">
          <reference field="4294967294" count="1" selected="0">
            <x v="0"/>
          </reference>
          <reference field="0" count="1" selected="0">
            <x v="0"/>
          </reference>
          <reference field="7" count="1" selected="0">
            <x v="4"/>
          </reference>
        </references>
      </pivotArea>
    </chartFormat>
    <chartFormat chart="11" format="26">
      <pivotArea type="data" outline="0" fieldPosition="0">
        <references count="3">
          <reference field="4294967294" count="1" selected="0">
            <x v="0"/>
          </reference>
          <reference field="0" count="1" selected="0">
            <x v="1"/>
          </reference>
          <reference field="7" count="1" selected="0">
            <x v="0"/>
          </reference>
        </references>
      </pivotArea>
    </chartFormat>
    <chartFormat chart="11" format="27">
      <pivotArea type="data" outline="0" fieldPosition="0">
        <references count="3">
          <reference field="4294967294" count="1" selected="0">
            <x v="0"/>
          </reference>
          <reference field="0" count="1" selected="0">
            <x v="2"/>
          </reference>
          <reference field="7" count="1" selected="0">
            <x v="3"/>
          </reference>
        </references>
      </pivotArea>
    </chartFormat>
    <chartFormat chart="11" format="28">
      <pivotArea type="data" outline="0" fieldPosition="0">
        <references count="3">
          <reference field="4294967294" count="1" selected="0">
            <x v="0"/>
          </reference>
          <reference field="0" count="1" selected="0">
            <x v="3"/>
          </reference>
          <reference field="7" count="1" selected="0">
            <x v="2"/>
          </reference>
        </references>
      </pivotArea>
    </chartFormat>
    <chartFormat chart="11" format="29">
      <pivotArea type="data" outline="0" fieldPosition="0">
        <references count="3">
          <reference field="4294967294" count="1" selected="0">
            <x v="0"/>
          </reference>
          <reference field="0" count="1" selected="0">
            <x v="4"/>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 xr10:uid="{FA920F98-37F7-4441-B628-42C86B34CF6C}" sourceName="Budget_USD">
  <pivotTables>
    <pivotTable tabId="14" name="PivotTable2"/>
  </pivotTables>
  <data>
    <tabular pivotCacheId="203727528">
      <items count="7">
        <i x="3" s="1"/>
        <i x="5" s="1"/>
        <i x="4" s="1"/>
        <i x="6"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1" xr10:uid="{FC8866C6-F544-4E9C-A54E-299D08E375E9}" sourceName="Budget_USD">
  <pivotTables>
    <pivotTable tabId="20" name="PivotTable5"/>
  </pivotTables>
  <data>
    <tabular pivotCacheId="14175404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2" xr10:uid="{262474BA-D02A-4813-BCF9-C19845494F24}" sourceName="Budget_USD">
  <pivotTables>
    <pivotTable tabId="24" name="PivotTable8"/>
  </pivotTables>
  <data>
    <tabular pivotCacheId="510407871">
      <items count="7">
        <i x="0" s="1"/>
        <i x="4" s="1"/>
        <i x="2" s="1"/>
        <i x="6" s="1"/>
        <i x="5"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3" xr10:uid="{4DA0E01F-BAEE-4CCD-9508-D7B38B35F194}" sourceName="Budget_USD">
  <pivotTables>
    <pivotTable tabId="21" name="PivotTable6"/>
  </pivotTables>
  <data>
    <tabular pivotCacheId="1178030008">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4" xr10:uid="{AC4D890C-D727-406D-8FCD-398202EFCE74}" sourceName="Budget_USD">
  <pivotTables>
    <pivotTable tabId="22" name="PivotTable7"/>
  </pivotTables>
  <data>
    <tabular pivotCacheId="572996173">
      <items count="7">
        <i x="6" s="1"/>
        <i x="3" s="1"/>
        <i x="0" s="1"/>
        <i x="2" s="1"/>
        <i x="1" s="1"/>
        <i x="4"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5" xr10:uid="{984A4FD4-EB82-42D4-ADA7-BACC8767C41F}" sourceName="Budget_USD">
  <pivotTables>
    <pivotTable tabId="25" name="PivotTable9"/>
  </pivotTables>
  <data>
    <tabular pivotCacheId="740642739">
      <items count="5">
        <i x="3" s="1"/>
        <i x="0" s="1"/>
        <i x="2" s="1"/>
        <i x="4"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6" xr10:uid="{7C43A71A-F30B-48F9-96F9-CF95599450D7}" sourceName="Budget_USD">
  <pivotTables>
    <pivotTable tabId="26" name="PivotTable10"/>
  </pivotTables>
  <data>
    <tabular pivotCacheId="1195590352">
      <items count="4">
        <i x="0" s="1"/>
        <i x="2"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7" xr10:uid="{494F5698-CB1E-4CD2-A364-C28C4054D5A4}" sourceName="Budget_USD">
  <pivotTables>
    <pivotTable tabId="35" name="PivotTable11"/>
  </pivotTables>
  <data>
    <tabular pivotCacheId="1424581214">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8" xr10:uid="{AF95AAAF-79E6-4840-9DBC-A9877A86ED3C}" sourceName="Budget_USD">
  <pivotTables>
    <pivotTable tabId="36" name="PivotTable12"/>
  </pivotTables>
  <data>
    <tabular pivotCacheId="1353394953">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9" xr10:uid="{B97347F4-5302-4F98-86AC-B8260EAD35B8}" sourceName="Budget_USD">
  <pivotTables>
    <pivotTable tabId="37" name="PivotTable13"/>
  </pivotTables>
  <data>
    <tabular pivotCacheId="25825769">
      <items count="4">
        <i x="0" s="1"/>
        <i x="1" s="1"/>
        <i x="3"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10" xr10:uid="{4E686DE3-F3E2-460E-A653-37266909A2B7}" sourceName="Budget_USD">
  <pivotTables>
    <pivotTable tabId="38" name="PivotTable14"/>
  </pivotTables>
  <data>
    <tabular pivotCacheId="599251798">
      <items count="8">
        <i x="5" s="1"/>
        <i x="6" s="1"/>
        <i x="2" s="1"/>
        <i x="1" s="1"/>
        <i x="3" s="1"/>
        <i x="0" s="1"/>
        <i x="7" s="1"/>
        <i x="4"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11" xr10:uid="{EE28E853-C4F4-4051-B56E-CCEEBA80676B}" sourceName="Budget_USD">
  <pivotTables>
    <pivotTable tabId="39" name="PivotTable15"/>
  </pivotTables>
  <data>
    <tabular pivotCacheId="1200093228">
      <items count="8">
        <i x="2" s="1"/>
        <i x="7" s="1"/>
        <i x="0" s="1"/>
        <i x="4" s="1"/>
        <i x="1" s="1"/>
        <i x="6" s="1"/>
        <i x="5"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USD12" xr10:uid="{D132B32A-0F13-43ED-9E89-D2CEDFF90F7D}" sourceName="Budget_USD">
  <pivotTables>
    <pivotTable tabId="40" name="PivotTable16"/>
  </pivotTables>
  <data>
    <tabular pivotCacheId="1345405451">
      <items count="6">
        <i x="4" s="1"/>
        <i x="3" s="1"/>
        <i x="5"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_USD 7" xr10:uid="{8D267B45-DD00-495F-B22E-261FD746979B}" cache="Slicer_Budget_USD7" caption="Budget_USD" rowHeight="684000"/>
  <slicer name="Budget_USD 8" xr10:uid="{56412DCB-178C-4E1C-9A41-F1FE274E6F6E}" cache="Slicer_Budget_USD8" caption="Budget_USD" rowHeight="648000"/>
  <slicer name="Budget_USD 9" xr10:uid="{F11A63B0-2E04-464A-AF90-881F555F0717}" cache="Slicer_Budget_USD9" caption="Budget_USD" rowHeight="612000"/>
  <slicer name="Budget_USD 10" xr10:uid="{42ED4B20-0C96-4365-A75E-6A3C3C49032B}" cache="Slicer_Budget_USD10" caption="Budget_USD" rowHeight="432000"/>
  <slicer name="Budget_USD 11" xr10:uid="{E893D803-CF5B-4138-90F8-728D89F2F228}" cache="Slicer_Budget_USD11" caption="Budget_USD" rowHeight="396000"/>
  <slicer name="Budget_USD 12" xr10:uid="{200A2E04-D842-42F8-995E-BB01FE16D7D2}" cache="Slicer_Budget_USD12" caption="Budget_USD" rowHeight="61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_USD" xr10:uid="{F47741F4-0D85-4D52-8630-4619BB264000}" cache="Slicer_Budget_USD" caption="Budget_USD" rowHeight="288000"/>
  <slicer name="Budget_USD 1" xr10:uid="{EFD84C96-0E3F-4AAA-8563-99B5A6D35BAC}" cache="Slicer_Budget_USD1" caption="Budget_USD" rowHeight="432000"/>
  <slicer name="Budget_USD 2" xr10:uid="{428F21AC-69A4-46A4-80A6-7A282055D07E}" cache="Slicer_Budget_USD2" caption="Budget_USD" rowHeight="324000"/>
  <slicer name="Budget_USD 3" xr10:uid="{E98A7C15-8447-44D7-ACEC-0B9A549D1019}" cache="Slicer_Budget_USD3" caption="Budget_USD" rowHeight="432000"/>
  <slicer name="Budget_USD 4" xr10:uid="{678A1BCA-3AB7-4593-88CA-B162703B4585}" cache="Slicer_Budget_USD4" caption="Budget_USD" rowHeight="252000"/>
  <slicer name="Budget_USD 5" xr10:uid="{4D9B68CF-D826-4721-B420-37D236ED81BE}" cache="Slicer_Budget_USD5" caption="Budget_USD" rowHeight="360000"/>
  <slicer name="Budget_USD 6" xr10:uid="{DF1C81CC-60D5-4537-8117-883B44FC54EC}" cache="Slicer_Budget_USD6" caption="Budget_USD"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05C531-2268-4611-ABCE-CCEF613B6B9F}" name="Table1" displayName="Table1" ref="A1:K69" totalsRowShown="0" headerRowDxfId="2" headerRowBorderDxfId="1" tableBorderDxfId="0">
  <autoFilter ref="A1:K69" xr:uid="{1605C531-2268-4611-ABCE-CCEF613B6B9F}"/>
  <tableColumns count="11">
    <tableColumn id="1" xr3:uid="{2CB1AD47-93BE-4526-884C-D5D0B8943F5D}" name="Column1"/>
    <tableColumn id="2" xr3:uid="{606BDF41-F705-414C-A292-B885B720C85E}" name="Company"/>
    <tableColumn id="3" xr3:uid="{A5B8EE41-8610-476F-9407-A280DE57BFBC}" name="Campaign_Name"/>
    <tableColumn id="4" xr3:uid="{9FBDC609-80FC-4055-AFAD-7F286DD841F7}" name="Channel"/>
    <tableColumn id="5" xr3:uid="{BC223826-674E-43C1-98B2-4A18C1ED3AF7}" name="Budget_USD"/>
    <tableColumn id="6" xr3:uid="{98B83368-0974-4274-8A53-A3E80FB9B8E0}" name="Engagement_%"/>
    <tableColumn id="7" xr3:uid="{17AE54FA-5E85-4DF2-AECD-D883D31E89DE}" name="Conversion_Rate_%"/>
    <tableColumn id="8" xr3:uid="{7A75D06C-633E-4204-BF03-C293C7BA14F0}" name="Region"/>
    <tableColumn id="9" xr3:uid="{DB73F002-597B-4D5F-BDDC-8A222730E5E2}" name="Outcome"/>
    <tableColumn id="10" xr3:uid="{3597D330-333B-48D3-8A57-4CBA452A5037}" name="Notes"/>
    <tableColumn id="11" xr3:uid="{4D1F8F21-363D-492C-9913-EF0A7A53FF4F}" name="Total Sla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5"/>
  <sheetViews>
    <sheetView tabSelected="1" workbookViewId="0">
      <selection sqref="A1:XFD1048576"/>
    </sheetView>
  </sheetViews>
  <sheetFormatPr defaultRowHeight="14.4" x14ac:dyDescent="0.3"/>
  <cols>
    <col min="1" max="1" width="17.109375" customWidth="1"/>
    <col min="2" max="2" width="28.5546875" customWidth="1"/>
    <col min="3" max="3" width="47.33203125" customWidth="1"/>
    <col min="4" max="4" width="18.5546875" customWidth="1"/>
    <col min="5" max="5" width="16" style="16" bestFit="1" customWidth="1"/>
    <col min="6" max="6" width="31.88671875" customWidth="1"/>
    <col min="7" max="7" width="25.109375" customWidth="1"/>
    <col min="8" max="8" width="11.44140625" bestFit="1" customWidth="1"/>
    <col min="9" max="9" width="10.6640625" customWidth="1"/>
    <col min="10" max="10" width="98" bestFit="1" customWidth="1"/>
    <col min="11" max="11" width="26.21875" customWidth="1"/>
  </cols>
  <sheetData>
    <row r="1" spans="1:11" x14ac:dyDescent="0.3">
      <c r="A1" s="1" t="s">
        <v>133</v>
      </c>
      <c r="B1" s="1" t="s">
        <v>1</v>
      </c>
      <c r="C1" s="1" t="s">
        <v>2</v>
      </c>
      <c r="D1" s="1" t="s">
        <v>3</v>
      </c>
      <c r="E1" s="17" t="s">
        <v>4</v>
      </c>
      <c r="F1" s="1" t="s">
        <v>5</v>
      </c>
      <c r="G1" s="1" t="s">
        <v>6</v>
      </c>
      <c r="H1" s="1" t="s">
        <v>7</v>
      </c>
      <c r="I1" s="1" t="s">
        <v>8</v>
      </c>
      <c r="J1" s="1" t="s">
        <v>9</v>
      </c>
      <c r="K1" s="1" t="s">
        <v>172</v>
      </c>
    </row>
    <row r="2" spans="1:11" x14ac:dyDescent="0.3">
      <c r="A2" t="s">
        <v>10</v>
      </c>
      <c r="B2" t="s">
        <v>44</v>
      </c>
      <c r="C2" t="s">
        <v>46</v>
      </c>
      <c r="D2" t="s">
        <v>111</v>
      </c>
      <c r="E2" s="16">
        <v>20860</v>
      </c>
      <c r="F2">
        <v>3.43</v>
      </c>
      <c r="G2">
        <v>4.01</v>
      </c>
      <c r="H2" t="s">
        <v>118</v>
      </c>
      <c r="I2" t="s">
        <v>125</v>
      </c>
      <c r="J2" t="s">
        <v>128</v>
      </c>
      <c r="K2" s="16">
        <f>SUM(E2:E35)</f>
        <v>3192225</v>
      </c>
    </row>
    <row r="3" spans="1:11" x14ac:dyDescent="0.3">
      <c r="A3" t="s">
        <v>11</v>
      </c>
      <c r="B3" t="s">
        <v>44</v>
      </c>
      <c r="C3" t="s">
        <v>47</v>
      </c>
      <c r="D3" t="s">
        <v>112</v>
      </c>
      <c r="E3" s="16">
        <v>148214</v>
      </c>
      <c r="F3">
        <v>2.11</v>
      </c>
      <c r="G3">
        <v>4.4000000000000004</v>
      </c>
      <c r="H3" t="s">
        <v>119</v>
      </c>
      <c r="I3" t="s">
        <v>125</v>
      </c>
      <c r="J3" t="s">
        <v>128</v>
      </c>
    </row>
    <row r="4" spans="1:11" x14ac:dyDescent="0.3">
      <c r="A4" t="s">
        <v>12</v>
      </c>
      <c r="B4" t="s">
        <v>44</v>
      </c>
      <c r="C4" t="s">
        <v>48</v>
      </c>
      <c r="D4" t="s">
        <v>113</v>
      </c>
      <c r="E4" s="16">
        <v>84820</v>
      </c>
      <c r="F4">
        <v>11.68</v>
      </c>
      <c r="G4">
        <v>4.25</v>
      </c>
      <c r="H4" t="s">
        <v>120</v>
      </c>
      <c r="I4" t="s">
        <v>126</v>
      </c>
      <c r="J4" t="s">
        <v>128</v>
      </c>
    </row>
    <row r="5" spans="1:11" x14ac:dyDescent="0.3">
      <c r="A5" t="s">
        <v>13</v>
      </c>
      <c r="B5" t="s">
        <v>44</v>
      </c>
      <c r="C5" t="s">
        <v>49</v>
      </c>
      <c r="D5" t="s">
        <v>114</v>
      </c>
      <c r="E5" s="16">
        <v>103104</v>
      </c>
      <c r="F5">
        <v>4.6900000000000004</v>
      </c>
      <c r="G5">
        <v>2.86</v>
      </c>
      <c r="H5" t="s">
        <v>121</v>
      </c>
      <c r="I5" t="s">
        <v>125</v>
      </c>
      <c r="J5" t="s">
        <v>128</v>
      </c>
    </row>
    <row r="6" spans="1:11" x14ac:dyDescent="0.3">
      <c r="A6" t="s">
        <v>14</v>
      </c>
      <c r="B6" t="s">
        <v>44</v>
      </c>
      <c r="C6" t="s">
        <v>50</v>
      </c>
      <c r="D6" t="s">
        <v>115</v>
      </c>
      <c r="E6" s="16">
        <v>45658</v>
      </c>
      <c r="F6">
        <v>5.7</v>
      </c>
      <c r="G6">
        <v>0.71</v>
      </c>
      <c r="H6" t="s">
        <v>119</v>
      </c>
      <c r="I6" t="s">
        <v>127</v>
      </c>
      <c r="J6" t="s">
        <v>128</v>
      </c>
    </row>
    <row r="7" spans="1:11" x14ac:dyDescent="0.3">
      <c r="A7" t="s">
        <v>15</v>
      </c>
      <c r="B7" t="s">
        <v>44</v>
      </c>
      <c r="C7" t="s">
        <v>51</v>
      </c>
      <c r="D7" t="s">
        <v>111</v>
      </c>
      <c r="E7" s="16">
        <v>149981</v>
      </c>
      <c r="F7">
        <v>9.74</v>
      </c>
      <c r="G7">
        <v>1.4</v>
      </c>
      <c r="H7" t="s">
        <v>120</v>
      </c>
      <c r="I7" t="s">
        <v>125</v>
      </c>
      <c r="J7" t="s">
        <v>128</v>
      </c>
    </row>
    <row r="8" spans="1:11" x14ac:dyDescent="0.3">
      <c r="A8" t="s">
        <v>16</v>
      </c>
      <c r="B8" t="s">
        <v>44</v>
      </c>
      <c r="C8" t="s">
        <v>52</v>
      </c>
      <c r="D8" t="s">
        <v>115</v>
      </c>
      <c r="E8" s="16">
        <v>89092</v>
      </c>
      <c r="F8">
        <v>7.88</v>
      </c>
      <c r="G8">
        <v>1.27</v>
      </c>
      <c r="H8" t="s">
        <v>119</v>
      </c>
      <c r="I8" t="s">
        <v>126</v>
      </c>
      <c r="J8" t="s">
        <v>128</v>
      </c>
    </row>
    <row r="9" spans="1:11" x14ac:dyDescent="0.3">
      <c r="A9" t="s">
        <v>17</v>
      </c>
      <c r="B9" t="s">
        <v>44</v>
      </c>
      <c r="C9" t="s">
        <v>53</v>
      </c>
      <c r="D9" t="s">
        <v>114</v>
      </c>
      <c r="E9" s="16">
        <v>128859</v>
      </c>
      <c r="F9">
        <v>7.41</v>
      </c>
      <c r="G9">
        <v>2.23</v>
      </c>
      <c r="H9" t="s">
        <v>122</v>
      </c>
      <c r="I9" t="s">
        <v>126</v>
      </c>
      <c r="J9" t="s">
        <v>128</v>
      </c>
    </row>
    <row r="10" spans="1:11" x14ac:dyDescent="0.3">
      <c r="A10" t="s">
        <v>18</v>
      </c>
      <c r="B10" t="s">
        <v>44</v>
      </c>
      <c r="C10" t="s">
        <v>54</v>
      </c>
      <c r="D10" t="s">
        <v>112</v>
      </c>
      <c r="E10" s="16">
        <v>140923</v>
      </c>
      <c r="F10">
        <v>6.12</v>
      </c>
      <c r="G10">
        <v>1.05</v>
      </c>
      <c r="H10" t="s">
        <v>118</v>
      </c>
      <c r="I10" t="s">
        <v>125</v>
      </c>
      <c r="J10" t="s">
        <v>128</v>
      </c>
    </row>
    <row r="11" spans="1:11" x14ac:dyDescent="0.3">
      <c r="A11" t="s">
        <v>19</v>
      </c>
      <c r="B11" t="s">
        <v>44</v>
      </c>
      <c r="C11" t="s">
        <v>55</v>
      </c>
      <c r="D11" t="s">
        <v>111</v>
      </c>
      <c r="E11" s="16">
        <v>100077</v>
      </c>
      <c r="F11">
        <v>5.61</v>
      </c>
      <c r="G11">
        <v>1.32</v>
      </c>
      <c r="H11" t="s">
        <v>119</v>
      </c>
      <c r="I11" t="s">
        <v>125</v>
      </c>
      <c r="J11" t="s">
        <v>128</v>
      </c>
    </row>
    <row r="12" spans="1:11" x14ac:dyDescent="0.3">
      <c r="A12" t="s">
        <v>20</v>
      </c>
      <c r="B12" t="s">
        <v>44</v>
      </c>
      <c r="C12" t="s">
        <v>56</v>
      </c>
      <c r="D12" t="s">
        <v>116</v>
      </c>
      <c r="E12" s="16">
        <v>129109</v>
      </c>
      <c r="F12">
        <v>7.24</v>
      </c>
      <c r="G12">
        <v>1.33</v>
      </c>
      <c r="H12" t="s">
        <v>120</v>
      </c>
      <c r="I12" t="s">
        <v>127</v>
      </c>
      <c r="J12" t="s">
        <v>128</v>
      </c>
    </row>
    <row r="13" spans="1:11" x14ac:dyDescent="0.3">
      <c r="A13" t="s">
        <v>21</v>
      </c>
      <c r="B13" t="s">
        <v>44</v>
      </c>
      <c r="C13" t="s">
        <v>57</v>
      </c>
      <c r="D13" t="s">
        <v>112</v>
      </c>
      <c r="E13" s="16">
        <v>85697</v>
      </c>
      <c r="F13">
        <v>5.65</v>
      </c>
      <c r="G13">
        <v>4.67</v>
      </c>
      <c r="H13" t="s">
        <v>118</v>
      </c>
      <c r="I13" t="s">
        <v>125</v>
      </c>
      <c r="J13" t="s">
        <v>128</v>
      </c>
    </row>
    <row r="14" spans="1:11" x14ac:dyDescent="0.3">
      <c r="A14" t="s">
        <v>22</v>
      </c>
      <c r="B14" t="s">
        <v>44</v>
      </c>
      <c r="C14" t="s">
        <v>58</v>
      </c>
      <c r="D14" t="s">
        <v>111</v>
      </c>
      <c r="E14" s="16">
        <v>146678</v>
      </c>
      <c r="F14">
        <v>6.97</v>
      </c>
      <c r="G14">
        <v>4.83</v>
      </c>
      <c r="H14" t="s">
        <v>120</v>
      </c>
      <c r="I14" t="s">
        <v>127</v>
      </c>
      <c r="J14" t="s">
        <v>128</v>
      </c>
    </row>
    <row r="15" spans="1:11" x14ac:dyDescent="0.3">
      <c r="A15" t="s">
        <v>23</v>
      </c>
      <c r="B15" t="s">
        <v>44</v>
      </c>
      <c r="C15" t="s">
        <v>59</v>
      </c>
      <c r="D15" t="s">
        <v>117</v>
      </c>
      <c r="E15" s="16">
        <v>102798</v>
      </c>
      <c r="F15">
        <v>10.199999999999999</v>
      </c>
      <c r="G15">
        <v>2.11</v>
      </c>
      <c r="H15" t="s">
        <v>123</v>
      </c>
      <c r="I15" t="s">
        <v>126</v>
      </c>
      <c r="J15" t="s">
        <v>128</v>
      </c>
    </row>
    <row r="16" spans="1:11" x14ac:dyDescent="0.3">
      <c r="A16" t="s">
        <v>24</v>
      </c>
      <c r="B16" t="s">
        <v>44</v>
      </c>
      <c r="C16" t="s">
        <v>60</v>
      </c>
      <c r="D16" t="s">
        <v>114</v>
      </c>
      <c r="E16" s="16">
        <v>125512</v>
      </c>
      <c r="F16">
        <v>4.6100000000000003</v>
      </c>
      <c r="G16">
        <v>1.24</v>
      </c>
      <c r="H16" t="s">
        <v>121</v>
      </c>
      <c r="I16" t="s">
        <v>126</v>
      </c>
      <c r="J16" t="s">
        <v>128</v>
      </c>
    </row>
    <row r="17" spans="1:10" x14ac:dyDescent="0.3">
      <c r="A17" t="s">
        <v>25</v>
      </c>
      <c r="B17" t="s">
        <v>44</v>
      </c>
      <c r="C17" t="s">
        <v>61</v>
      </c>
      <c r="D17" t="s">
        <v>115</v>
      </c>
      <c r="E17" s="16">
        <v>87563</v>
      </c>
      <c r="F17">
        <v>4.58</v>
      </c>
      <c r="G17">
        <v>0.56000000000000005</v>
      </c>
      <c r="H17" t="s">
        <v>122</v>
      </c>
      <c r="I17" t="s">
        <v>126</v>
      </c>
      <c r="J17" t="s">
        <v>128</v>
      </c>
    </row>
    <row r="18" spans="1:10" x14ac:dyDescent="0.3">
      <c r="A18" t="s">
        <v>26</v>
      </c>
      <c r="B18" t="s">
        <v>44</v>
      </c>
      <c r="C18" t="s">
        <v>62</v>
      </c>
      <c r="D18" t="s">
        <v>113</v>
      </c>
      <c r="E18" s="16">
        <v>149312</v>
      </c>
      <c r="F18">
        <v>7.86</v>
      </c>
      <c r="G18">
        <v>4.67</v>
      </c>
      <c r="H18" t="s">
        <v>119</v>
      </c>
      <c r="I18" t="s">
        <v>125</v>
      </c>
      <c r="J18" t="s">
        <v>128</v>
      </c>
    </row>
    <row r="19" spans="1:10" x14ac:dyDescent="0.3">
      <c r="A19" t="s">
        <v>27</v>
      </c>
      <c r="B19" t="s">
        <v>44</v>
      </c>
      <c r="C19" t="s">
        <v>63</v>
      </c>
      <c r="D19" t="s">
        <v>114</v>
      </c>
      <c r="E19" s="16">
        <v>28392</v>
      </c>
      <c r="F19">
        <v>8.0399999999999991</v>
      </c>
      <c r="G19">
        <v>1.99</v>
      </c>
      <c r="H19" t="s">
        <v>124</v>
      </c>
      <c r="I19" t="s">
        <v>126</v>
      </c>
      <c r="J19" t="s">
        <v>128</v>
      </c>
    </row>
    <row r="20" spans="1:10" x14ac:dyDescent="0.3">
      <c r="A20" t="s">
        <v>28</v>
      </c>
      <c r="B20" t="s">
        <v>44</v>
      </c>
      <c r="C20" t="s">
        <v>64</v>
      </c>
      <c r="D20" t="s">
        <v>111</v>
      </c>
      <c r="E20" s="16">
        <v>99575</v>
      </c>
      <c r="F20">
        <v>8.49</v>
      </c>
      <c r="G20">
        <v>3.16</v>
      </c>
      <c r="H20" t="s">
        <v>120</v>
      </c>
      <c r="I20" t="s">
        <v>126</v>
      </c>
      <c r="J20" t="s">
        <v>128</v>
      </c>
    </row>
    <row r="21" spans="1:10" x14ac:dyDescent="0.3">
      <c r="A21" t="s">
        <v>29</v>
      </c>
      <c r="B21" t="s">
        <v>44</v>
      </c>
      <c r="C21" t="s">
        <v>65</v>
      </c>
      <c r="D21" t="s">
        <v>113</v>
      </c>
      <c r="E21" s="16">
        <v>118018</v>
      </c>
      <c r="F21">
        <v>2.76</v>
      </c>
      <c r="G21">
        <v>3.71</v>
      </c>
      <c r="H21" t="s">
        <v>122</v>
      </c>
      <c r="I21" t="s">
        <v>125</v>
      </c>
      <c r="J21" t="s">
        <v>128</v>
      </c>
    </row>
    <row r="22" spans="1:10" x14ac:dyDescent="0.3">
      <c r="A22" t="s">
        <v>30</v>
      </c>
      <c r="B22" t="s">
        <v>44</v>
      </c>
      <c r="C22" t="s">
        <v>66</v>
      </c>
      <c r="D22" t="s">
        <v>112</v>
      </c>
      <c r="E22" s="16">
        <v>26910</v>
      </c>
      <c r="F22">
        <v>4.1900000000000004</v>
      </c>
      <c r="G22">
        <v>0.68</v>
      </c>
      <c r="H22" t="s">
        <v>124</v>
      </c>
      <c r="I22" t="s">
        <v>125</v>
      </c>
      <c r="J22" t="s">
        <v>128</v>
      </c>
    </row>
    <row r="23" spans="1:10" x14ac:dyDescent="0.3">
      <c r="A23" t="s">
        <v>31</v>
      </c>
      <c r="B23" t="s">
        <v>44</v>
      </c>
      <c r="C23" t="s">
        <v>67</v>
      </c>
      <c r="D23" t="s">
        <v>112</v>
      </c>
      <c r="E23" s="16">
        <v>43419</v>
      </c>
      <c r="F23">
        <v>2.63</v>
      </c>
      <c r="G23">
        <v>0.64</v>
      </c>
      <c r="H23" t="s">
        <v>123</v>
      </c>
      <c r="I23" t="s">
        <v>125</v>
      </c>
      <c r="J23" t="s">
        <v>128</v>
      </c>
    </row>
    <row r="24" spans="1:10" x14ac:dyDescent="0.3">
      <c r="A24" t="s">
        <v>32</v>
      </c>
      <c r="B24" t="s">
        <v>44</v>
      </c>
      <c r="C24" t="s">
        <v>68</v>
      </c>
      <c r="D24" t="s">
        <v>114</v>
      </c>
      <c r="E24" s="16">
        <v>130687</v>
      </c>
      <c r="F24">
        <v>8.8000000000000007</v>
      </c>
      <c r="G24">
        <v>1.1299999999999999</v>
      </c>
      <c r="H24" t="s">
        <v>121</v>
      </c>
      <c r="I24" t="s">
        <v>125</v>
      </c>
      <c r="J24" t="s">
        <v>128</v>
      </c>
    </row>
    <row r="25" spans="1:10" x14ac:dyDescent="0.3">
      <c r="A25" t="s">
        <v>33</v>
      </c>
      <c r="B25" t="s">
        <v>44</v>
      </c>
      <c r="C25" t="s">
        <v>69</v>
      </c>
      <c r="D25" t="s">
        <v>111</v>
      </c>
      <c r="E25" s="16">
        <v>139324</v>
      </c>
      <c r="F25">
        <v>3.9</v>
      </c>
      <c r="G25">
        <v>0.85</v>
      </c>
      <c r="H25" t="s">
        <v>119</v>
      </c>
      <c r="I25" t="s">
        <v>126</v>
      </c>
      <c r="J25" t="s">
        <v>128</v>
      </c>
    </row>
    <row r="26" spans="1:10" x14ac:dyDescent="0.3">
      <c r="A26" t="s">
        <v>34</v>
      </c>
      <c r="B26" t="s">
        <v>44</v>
      </c>
      <c r="C26" s="16" t="s">
        <v>70</v>
      </c>
      <c r="D26" t="s">
        <v>116</v>
      </c>
      <c r="E26" s="16">
        <v>63585</v>
      </c>
      <c r="F26">
        <v>8.06</v>
      </c>
      <c r="G26">
        <v>1.83</v>
      </c>
      <c r="H26" t="s">
        <v>118</v>
      </c>
      <c r="I26" t="s">
        <v>126</v>
      </c>
      <c r="J26" t="s">
        <v>128</v>
      </c>
    </row>
    <row r="27" spans="1:10" x14ac:dyDescent="0.3">
      <c r="A27" t="s">
        <v>35</v>
      </c>
      <c r="B27" t="s">
        <v>44</v>
      </c>
      <c r="C27" t="s">
        <v>71</v>
      </c>
      <c r="D27" t="s">
        <v>114</v>
      </c>
      <c r="E27" s="16">
        <v>132235</v>
      </c>
      <c r="F27">
        <v>3.46</v>
      </c>
      <c r="G27">
        <v>4.5199999999999996</v>
      </c>
      <c r="H27" t="s">
        <v>118</v>
      </c>
      <c r="I27" t="s">
        <v>125</v>
      </c>
      <c r="J27" t="s">
        <v>128</v>
      </c>
    </row>
    <row r="28" spans="1:10" x14ac:dyDescent="0.3">
      <c r="A28" t="s">
        <v>36</v>
      </c>
      <c r="B28" t="s">
        <v>44</v>
      </c>
      <c r="C28" t="s">
        <v>72</v>
      </c>
      <c r="D28" t="s">
        <v>112</v>
      </c>
      <c r="E28" s="16">
        <v>35707</v>
      </c>
      <c r="F28">
        <v>5.24</v>
      </c>
      <c r="G28">
        <v>4.58</v>
      </c>
      <c r="H28" t="s">
        <v>124</v>
      </c>
      <c r="I28" t="s">
        <v>126</v>
      </c>
      <c r="J28" t="s">
        <v>128</v>
      </c>
    </row>
    <row r="29" spans="1:10" x14ac:dyDescent="0.3">
      <c r="A29" t="s">
        <v>37</v>
      </c>
      <c r="B29" t="s">
        <v>44</v>
      </c>
      <c r="C29" t="s">
        <v>73</v>
      </c>
      <c r="D29" t="s">
        <v>113</v>
      </c>
      <c r="E29" s="16">
        <v>26776</v>
      </c>
      <c r="F29">
        <v>10.09</v>
      </c>
      <c r="G29">
        <v>4.37</v>
      </c>
      <c r="H29" t="s">
        <v>120</v>
      </c>
      <c r="I29" t="s">
        <v>126</v>
      </c>
      <c r="J29" t="s">
        <v>128</v>
      </c>
    </row>
    <row r="30" spans="1:10" x14ac:dyDescent="0.3">
      <c r="A30" t="s">
        <v>38</v>
      </c>
      <c r="B30" t="s">
        <v>44</v>
      </c>
      <c r="C30" t="s">
        <v>74</v>
      </c>
      <c r="D30" t="s">
        <v>113</v>
      </c>
      <c r="E30" s="16">
        <v>139101</v>
      </c>
      <c r="F30">
        <v>3.83</v>
      </c>
      <c r="G30">
        <v>1.04</v>
      </c>
      <c r="H30" t="s">
        <v>122</v>
      </c>
      <c r="I30" t="s">
        <v>125</v>
      </c>
      <c r="J30" t="s">
        <v>128</v>
      </c>
    </row>
    <row r="31" spans="1:10" x14ac:dyDescent="0.3">
      <c r="A31" t="s">
        <v>39</v>
      </c>
      <c r="B31" t="s">
        <v>44</v>
      </c>
      <c r="C31" t="s">
        <v>75</v>
      </c>
      <c r="D31" t="s">
        <v>111</v>
      </c>
      <c r="E31" s="16">
        <v>113557</v>
      </c>
      <c r="F31">
        <v>3.8</v>
      </c>
      <c r="G31">
        <v>3.01</v>
      </c>
      <c r="H31" t="s">
        <v>119</v>
      </c>
      <c r="I31" t="s">
        <v>125</v>
      </c>
      <c r="J31" t="s">
        <v>128</v>
      </c>
    </row>
    <row r="32" spans="1:10" x14ac:dyDescent="0.3">
      <c r="A32" t="s">
        <v>40</v>
      </c>
      <c r="B32" t="s">
        <v>44</v>
      </c>
      <c r="C32" t="s">
        <v>76</v>
      </c>
      <c r="D32" t="s">
        <v>116</v>
      </c>
      <c r="E32" s="16">
        <v>59353</v>
      </c>
      <c r="F32">
        <v>11.61</v>
      </c>
      <c r="G32">
        <v>1.63</v>
      </c>
      <c r="H32" t="s">
        <v>122</v>
      </c>
      <c r="I32" t="s">
        <v>125</v>
      </c>
      <c r="J32" t="s">
        <v>128</v>
      </c>
    </row>
    <row r="33" spans="1:10" x14ac:dyDescent="0.3">
      <c r="A33" t="s">
        <v>41</v>
      </c>
      <c r="B33" t="s">
        <v>44</v>
      </c>
      <c r="C33" t="s">
        <v>77</v>
      </c>
      <c r="D33" t="s">
        <v>115</v>
      </c>
      <c r="E33" s="16">
        <v>105616</v>
      </c>
      <c r="F33">
        <v>11.98</v>
      </c>
      <c r="G33">
        <v>1.7</v>
      </c>
      <c r="H33" t="s">
        <v>121</v>
      </c>
      <c r="I33" t="s">
        <v>127</v>
      </c>
      <c r="J33" t="s">
        <v>128</v>
      </c>
    </row>
    <row r="34" spans="1:10" x14ac:dyDescent="0.3">
      <c r="A34" t="s">
        <v>42</v>
      </c>
      <c r="B34" t="s">
        <v>44</v>
      </c>
      <c r="C34" t="s">
        <v>78</v>
      </c>
      <c r="D34" t="s">
        <v>114</v>
      </c>
      <c r="E34" s="16">
        <v>20854</v>
      </c>
      <c r="F34">
        <v>4.43</v>
      </c>
      <c r="G34">
        <v>4.59</v>
      </c>
      <c r="H34" t="s">
        <v>120</v>
      </c>
      <c r="I34" t="s">
        <v>126</v>
      </c>
      <c r="J34" t="s">
        <v>128</v>
      </c>
    </row>
    <row r="35" spans="1:10" x14ac:dyDescent="0.3">
      <c r="A35" t="s">
        <v>43</v>
      </c>
      <c r="B35" t="s">
        <v>44</v>
      </c>
      <c r="C35" t="s">
        <v>79</v>
      </c>
      <c r="D35" t="s">
        <v>112</v>
      </c>
      <c r="E35" s="16">
        <v>70859</v>
      </c>
      <c r="F35">
        <v>6.2</v>
      </c>
      <c r="G35">
        <v>2.99</v>
      </c>
      <c r="H35" t="s">
        <v>121</v>
      </c>
      <c r="I35" t="s">
        <v>125</v>
      </c>
      <c r="J35" t="s">
        <v>128</v>
      </c>
    </row>
    <row r="36" spans="1:10" x14ac:dyDescent="0.3">
      <c r="A36" t="s">
        <v>10</v>
      </c>
      <c r="B36" t="s">
        <v>45</v>
      </c>
      <c r="C36" t="s">
        <v>46</v>
      </c>
      <c r="D36" t="s">
        <v>111</v>
      </c>
      <c r="E36">
        <v>159751</v>
      </c>
      <c r="F36">
        <v>4</v>
      </c>
      <c r="G36">
        <v>3.78</v>
      </c>
      <c r="H36" t="s">
        <v>119</v>
      </c>
      <c r="I36" t="s">
        <v>125</v>
      </c>
      <c r="J36" t="s">
        <v>128</v>
      </c>
    </row>
    <row r="37" spans="1:10" x14ac:dyDescent="0.3">
      <c r="A37" t="s">
        <v>11</v>
      </c>
      <c r="B37" t="s">
        <v>45</v>
      </c>
      <c r="C37" t="s">
        <v>80</v>
      </c>
      <c r="D37" t="s">
        <v>114</v>
      </c>
      <c r="E37">
        <v>246805</v>
      </c>
      <c r="F37">
        <v>5.69</v>
      </c>
      <c r="G37">
        <v>4.17</v>
      </c>
      <c r="H37" t="s">
        <v>123</v>
      </c>
      <c r="I37" t="s">
        <v>125</v>
      </c>
      <c r="J37" t="s">
        <v>128</v>
      </c>
    </row>
    <row r="38" spans="1:10" x14ac:dyDescent="0.3">
      <c r="A38" t="s">
        <v>12</v>
      </c>
      <c r="B38" t="s">
        <v>45</v>
      </c>
      <c r="C38" t="s">
        <v>81</v>
      </c>
      <c r="D38" t="s">
        <v>115</v>
      </c>
      <c r="E38">
        <v>136202</v>
      </c>
      <c r="F38">
        <v>3.46</v>
      </c>
      <c r="G38">
        <v>0.68</v>
      </c>
      <c r="H38" t="s">
        <v>118</v>
      </c>
      <c r="I38" t="s">
        <v>125</v>
      </c>
      <c r="J38" t="s">
        <v>128</v>
      </c>
    </row>
    <row r="39" spans="1:10" x14ac:dyDescent="0.3">
      <c r="A39" t="s">
        <v>13</v>
      </c>
      <c r="B39" t="s">
        <v>45</v>
      </c>
      <c r="C39" t="s">
        <v>82</v>
      </c>
      <c r="D39" t="s">
        <v>113</v>
      </c>
      <c r="E39">
        <v>253154</v>
      </c>
      <c r="F39">
        <v>8.9700000000000006</v>
      </c>
      <c r="G39">
        <v>4.1399999999999997</v>
      </c>
      <c r="H39" t="s">
        <v>118</v>
      </c>
      <c r="I39" t="s">
        <v>125</v>
      </c>
      <c r="J39" t="s">
        <v>128</v>
      </c>
    </row>
    <row r="40" spans="1:10" x14ac:dyDescent="0.3">
      <c r="A40" t="s">
        <v>14</v>
      </c>
      <c r="B40" t="s">
        <v>45</v>
      </c>
      <c r="C40" t="s">
        <v>83</v>
      </c>
      <c r="D40" t="s">
        <v>111</v>
      </c>
      <c r="E40">
        <v>189752</v>
      </c>
      <c r="F40">
        <v>8.75</v>
      </c>
      <c r="G40">
        <v>2.2400000000000002</v>
      </c>
      <c r="H40" t="s">
        <v>118</v>
      </c>
      <c r="I40" t="s">
        <v>127</v>
      </c>
      <c r="J40" t="s">
        <v>128</v>
      </c>
    </row>
    <row r="41" spans="1:10" x14ac:dyDescent="0.3">
      <c r="A41" t="s">
        <v>15</v>
      </c>
      <c r="B41" t="s">
        <v>45</v>
      </c>
      <c r="C41" t="s">
        <v>84</v>
      </c>
      <c r="D41" t="s">
        <v>115</v>
      </c>
      <c r="E41">
        <v>58155</v>
      </c>
      <c r="F41">
        <v>9.2200000000000006</v>
      </c>
      <c r="G41">
        <v>1.44</v>
      </c>
      <c r="H41" t="s">
        <v>119</v>
      </c>
      <c r="I41" t="s">
        <v>125</v>
      </c>
      <c r="J41" t="s">
        <v>128</v>
      </c>
    </row>
    <row r="42" spans="1:10" x14ac:dyDescent="0.3">
      <c r="A42" t="s">
        <v>16</v>
      </c>
      <c r="B42" t="s">
        <v>45</v>
      </c>
      <c r="C42" t="s">
        <v>85</v>
      </c>
      <c r="D42" t="s">
        <v>112</v>
      </c>
      <c r="E42">
        <v>197718</v>
      </c>
      <c r="F42">
        <v>8.43</v>
      </c>
      <c r="G42">
        <v>4.18</v>
      </c>
      <c r="H42" t="s">
        <v>119</v>
      </c>
      <c r="I42" t="s">
        <v>125</v>
      </c>
      <c r="J42" t="s">
        <v>128</v>
      </c>
    </row>
    <row r="43" spans="1:10" x14ac:dyDescent="0.3">
      <c r="A43" t="s">
        <v>17</v>
      </c>
      <c r="B43" t="s">
        <v>45</v>
      </c>
      <c r="C43" t="s">
        <v>53</v>
      </c>
      <c r="D43" t="s">
        <v>114</v>
      </c>
      <c r="E43">
        <v>183121</v>
      </c>
      <c r="F43">
        <v>11.96</v>
      </c>
      <c r="G43">
        <v>4.84</v>
      </c>
      <c r="H43" t="s">
        <v>122</v>
      </c>
      <c r="I43" t="s">
        <v>125</v>
      </c>
      <c r="J43" t="s">
        <v>128</v>
      </c>
    </row>
    <row r="44" spans="1:10" x14ac:dyDescent="0.3">
      <c r="A44" t="s">
        <v>18</v>
      </c>
      <c r="B44" t="s">
        <v>45</v>
      </c>
      <c r="C44" t="s">
        <v>86</v>
      </c>
      <c r="D44" t="s">
        <v>113</v>
      </c>
      <c r="E44">
        <v>224088</v>
      </c>
      <c r="F44">
        <v>4.43</v>
      </c>
      <c r="G44">
        <v>3.65</v>
      </c>
      <c r="H44" t="s">
        <v>124</v>
      </c>
      <c r="I44" t="s">
        <v>127</v>
      </c>
      <c r="J44" t="s">
        <v>128</v>
      </c>
    </row>
    <row r="45" spans="1:10" x14ac:dyDescent="0.3">
      <c r="A45" t="s">
        <v>19</v>
      </c>
      <c r="B45" t="s">
        <v>45</v>
      </c>
      <c r="C45" t="s">
        <v>87</v>
      </c>
      <c r="D45" t="s">
        <v>114</v>
      </c>
      <c r="E45">
        <v>176071</v>
      </c>
      <c r="F45">
        <v>10.82</v>
      </c>
      <c r="G45">
        <v>4.33</v>
      </c>
      <c r="H45" t="s">
        <v>120</v>
      </c>
      <c r="I45" t="s">
        <v>127</v>
      </c>
      <c r="J45" t="s">
        <v>128</v>
      </c>
    </row>
    <row r="46" spans="1:10" x14ac:dyDescent="0.3">
      <c r="A46" t="s">
        <v>20</v>
      </c>
      <c r="B46" t="s">
        <v>45</v>
      </c>
      <c r="C46" t="s">
        <v>88</v>
      </c>
      <c r="D46" t="s">
        <v>114</v>
      </c>
      <c r="E46">
        <v>234423</v>
      </c>
      <c r="F46">
        <v>7.87</v>
      </c>
      <c r="G46">
        <v>0.54</v>
      </c>
      <c r="H46" t="s">
        <v>120</v>
      </c>
      <c r="I46" t="s">
        <v>126</v>
      </c>
      <c r="J46" t="s">
        <v>128</v>
      </c>
    </row>
    <row r="47" spans="1:10" x14ac:dyDescent="0.3">
      <c r="A47" t="s">
        <v>21</v>
      </c>
      <c r="B47" t="s">
        <v>45</v>
      </c>
      <c r="C47" t="s">
        <v>89</v>
      </c>
      <c r="D47" t="s">
        <v>113</v>
      </c>
      <c r="E47">
        <v>293548</v>
      </c>
      <c r="F47">
        <v>4.4800000000000004</v>
      </c>
      <c r="G47">
        <v>1.87</v>
      </c>
      <c r="H47" t="s">
        <v>122</v>
      </c>
      <c r="I47" t="s">
        <v>125</v>
      </c>
      <c r="J47" t="s">
        <v>128</v>
      </c>
    </row>
    <row r="48" spans="1:10" x14ac:dyDescent="0.3">
      <c r="A48" t="s">
        <v>22</v>
      </c>
      <c r="B48" t="s">
        <v>45</v>
      </c>
      <c r="C48" t="s">
        <v>90</v>
      </c>
      <c r="D48" t="s">
        <v>113</v>
      </c>
      <c r="E48">
        <v>162296</v>
      </c>
      <c r="F48">
        <v>3.35</v>
      </c>
      <c r="G48">
        <v>0.57999999999999996</v>
      </c>
      <c r="H48" t="s">
        <v>121</v>
      </c>
      <c r="I48" t="s">
        <v>125</v>
      </c>
      <c r="J48" t="s">
        <v>128</v>
      </c>
    </row>
    <row r="49" spans="1:10" x14ac:dyDescent="0.3">
      <c r="A49" t="s">
        <v>23</v>
      </c>
      <c r="B49" t="s">
        <v>45</v>
      </c>
      <c r="C49" t="s">
        <v>91</v>
      </c>
      <c r="D49" t="s">
        <v>114</v>
      </c>
      <c r="E49">
        <v>280594</v>
      </c>
      <c r="F49">
        <v>8.4</v>
      </c>
      <c r="G49">
        <v>3.06</v>
      </c>
      <c r="H49" t="s">
        <v>124</v>
      </c>
      <c r="I49" t="s">
        <v>126</v>
      </c>
      <c r="J49" t="s">
        <v>128</v>
      </c>
    </row>
    <row r="50" spans="1:10" x14ac:dyDescent="0.3">
      <c r="A50" t="s">
        <v>24</v>
      </c>
      <c r="B50" t="s">
        <v>45</v>
      </c>
      <c r="C50" t="s">
        <v>92</v>
      </c>
      <c r="D50" t="s">
        <v>113</v>
      </c>
      <c r="E50">
        <v>69830</v>
      </c>
      <c r="F50">
        <v>4.13</v>
      </c>
      <c r="G50">
        <v>3.15</v>
      </c>
      <c r="H50" t="s">
        <v>120</v>
      </c>
      <c r="I50" t="s">
        <v>127</v>
      </c>
      <c r="J50" t="s">
        <v>128</v>
      </c>
    </row>
    <row r="51" spans="1:10" x14ac:dyDescent="0.3">
      <c r="A51" t="s">
        <v>25</v>
      </c>
      <c r="B51" t="s">
        <v>45</v>
      </c>
      <c r="C51" t="s">
        <v>93</v>
      </c>
      <c r="D51" t="s">
        <v>113</v>
      </c>
      <c r="E51">
        <v>186967</v>
      </c>
      <c r="F51">
        <v>8.1300000000000008</v>
      </c>
      <c r="G51">
        <v>4.08</v>
      </c>
      <c r="H51" t="s">
        <v>120</v>
      </c>
      <c r="I51" t="s">
        <v>125</v>
      </c>
      <c r="J51" t="s">
        <v>128</v>
      </c>
    </row>
    <row r="52" spans="1:10" x14ac:dyDescent="0.3">
      <c r="A52" t="s">
        <v>26</v>
      </c>
      <c r="B52" t="s">
        <v>45</v>
      </c>
      <c r="C52" t="s">
        <v>94</v>
      </c>
      <c r="D52" t="s">
        <v>114</v>
      </c>
      <c r="E52">
        <v>157455</v>
      </c>
      <c r="F52">
        <v>10.57</v>
      </c>
      <c r="G52">
        <v>1.54</v>
      </c>
      <c r="H52" t="s">
        <v>124</v>
      </c>
      <c r="I52" t="s">
        <v>125</v>
      </c>
      <c r="J52" t="s">
        <v>128</v>
      </c>
    </row>
    <row r="53" spans="1:10" x14ac:dyDescent="0.3">
      <c r="A53" t="s">
        <v>27</v>
      </c>
      <c r="B53" t="s">
        <v>45</v>
      </c>
      <c r="C53" t="s">
        <v>63</v>
      </c>
      <c r="D53" t="s">
        <v>114</v>
      </c>
      <c r="E53">
        <v>159616</v>
      </c>
      <c r="F53">
        <v>1.96</v>
      </c>
      <c r="G53">
        <v>4.9800000000000004</v>
      </c>
      <c r="H53" t="s">
        <v>119</v>
      </c>
      <c r="I53" t="s">
        <v>125</v>
      </c>
      <c r="J53" t="s">
        <v>128</v>
      </c>
    </row>
    <row r="54" spans="1:10" x14ac:dyDescent="0.3">
      <c r="A54" t="s">
        <v>28</v>
      </c>
      <c r="B54" t="s">
        <v>45</v>
      </c>
      <c r="C54" t="s">
        <v>95</v>
      </c>
      <c r="D54" t="s">
        <v>116</v>
      </c>
      <c r="E54">
        <v>93525</v>
      </c>
      <c r="F54">
        <v>5.39</v>
      </c>
      <c r="G54">
        <v>0.56999999999999995</v>
      </c>
      <c r="H54" t="s">
        <v>121</v>
      </c>
      <c r="I54" t="s">
        <v>127</v>
      </c>
      <c r="J54" t="s">
        <v>128</v>
      </c>
    </row>
    <row r="55" spans="1:10" x14ac:dyDescent="0.3">
      <c r="A55" t="s">
        <v>29</v>
      </c>
      <c r="B55" t="s">
        <v>45</v>
      </c>
      <c r="C55" t="s">
        <v>96</v>
      </c>
      <c r="D55" t="s">
        <v>115</v>
      </c>
      <c r="E55">
        <v>226308</v>
      </c>
      <c r="F55">
        <v>7.51</v>
      </c>
      <c r="G55">
        <v>4.91</v>
      </c>
      <c r="H55" t="s">
        <v>120</v>
      </c>
      <c r="I55" t="s">
        <v>126</v>
      </c>
      <c r="J55" t="s">
        <v>128</v>
      </c>
    </row>
    <row r="56" spans="1:10" x14ac:dyDescent="0.3">
      <c r="A56" t="s">
        <v>30</v>
      </c>
      <c r="B56" t="s">
        <v>45</v>
      </c>
      <c r="C56" t="s">
        <v>97</v>
      </c>
      <c r="D56" t="s">
        <v>117</v>
      </c>
      <c r="E56">
        <v>282351</v>
      </c>
      <c r="F56">
        <v>10.44</v>
      </c>
      <c r="G56">
        <v>1.93</v>
      </c>
      <c r="H56" t="s">
        <v>121</v>
      </c>
      <c r="I56" t="s">
        <v>126</v>
      </c>
      <c r="J56" t="s">
        <v>128</v>
      </c>
    </row>
    <row r="57" spans="1:10" x14ac:dyDescent="0.3">
      <c r="A57" t="s">
        <v>31</v>
      </c>
      <c r="B57" t="s">
        <v>45</v>
      </c>
      <c r="C57" t="s">
        <v>98</v>
      </c>
      <c r="D57" t="s">
        <v>115</v>
      </c>
      <c r="E57">
        <v>204165</v>
      </c>
      <c r="F57">
        <v>8.81</v>
      </c>
      <c r="G57">
        <v>3.07</v>
      </c>
      <c r="H57" t="s">
        <v>123</v>
      </c>
      <c r="I57" t="s">
        <v>126</v>
      </c>
      <c r="J57" t="s">
        <v>128</v>
      </c>
    </row>
    <row r="58" spans="1:10" x14ac:dyDescent="0.3">
      <c r="A58" t="s">
        <v>32</v>
      </c>
      <c r="B58" t="s">
        <v>45</v>
      </c>
      <c r="C58" t="s">
        <v>99</v>
      </c>
      <c r="D58" t="s">
        <v>111</v>
      </c>
      <c r="E58">
        <v>68070</v>
      </c>
      <c r="F58">
        <v>2.97</v>
      </c>
      <c r="G58">
        <v>2.83</v>
      </c>
      <c r="H58" t="s">
        <v>120</v>
      </c>
      <c r="I58" t="s">
        <v>127</v>
      </c>
      <c r="J58" t="s">
        <v>128</v>
      </c>
    </row>
    <row r="59" spans="1:10" x14ac:dyDescent="0.3">
      <c r="A59" t="s">
        <v>33</v>
      </c>
      <c r="B59" t="s">
        <v>45</v>
      </c>
      <c r="C59" t="s">
        <v>100</v>
      </c>
      <c r="D59" t="s">
        <v>115</v>
      </c>
      <c r="E59">
        <v>155864</v>
      </c>
      <c r="F59">
        <v>8.8800000000000008</v>
      </c>
      <c r="G59">
        <v>2.12</v>
      </c>
      <c r="H59" t="s">
        <v>122</v>
      </c>
      <c r="I59" t="s">
        <v>126</v>
      </c>
      <c r="J59" t="s">
        <v>128</v>
      </c>
    </row>
    <row r="60" spans="1:10" x14ac:dyDescent="0.3">
      <c r="A60" t="s">
        <v>34</v>
      </c>
      <c r="B60" t="s">
        <v>45</v>
      </c>
      <c r="C60" t="s">
        <v>101</v>
      </c>
      <c r="D60" t="s">
        <v>111</v>
      </c>
      <c r="E60">
        <v>285362</v>
      </c>
      <c r="F60">
        <v>4.1900000000000004</v>
      </c>
      <c r="G60">
        <v>3.25</v>
      </c>
      <c r="H60" t="s">
        <v>123</v>
      </c>
      <c r="I60" t="s">
        <v>126</v>
      </c>
      <c r="J60" t="s">
        <v>128</v>
      </c>
    </row>
    <row r="61" spans="1:10" x14ac:dyDescent="0.3">
      <c r="A61" t="s">
        <v>35</v>
      </c>
      <c r="B61" t="s">
        <v>45</v>
      </c>
      <c r="C61" t="s">
        <v>102</v>
      </c>
      <c r="D61" t="s">
        <v>111</v>
      </c>
      <c r="E61">
        <v>160627</v>
      </c>
      <c r="F61">
        <v>9.8800000000000008</v>
      </c>
      <c r="G61">
        <v>3.42</v>
      </c>
      <c r="H61" t="s">
        <v>122</v>
      </c>
      <c r="I61" t="s">
        <v>125</v>
      </c>
      <c r="J61" t="s">
        <v>128</v>
      </c>
    </row>
    <row r="62" spans="1:10" x14ac:dyDescent="0.3">
      <c r="A62" t="s">
        <v>36</v>
      </c>
      <c r="B62" t="s">
        <v>45</v>
      </c>
      <c r="C62" t="s">
        <v>103</v>
      </c>
      <c r="D62" t="s">
        <v>116</v>
      </c>
      <c r="E62">
        <v>137922</v>
      </c>
      <c r="F62">
        <v>5.05</v>
      </c>
      <c r="G62">
        <v>2.19</v>
      </c>
      <c r="H62" t="s">
        <v>118</v>
      </c>
      <c r="I62" t="s">
        <v>126</v>
      </c>
      <c r="J62" t="s">
        <v>128</v>
      </c>
    </row>
    <row r="63" spans="1:10" x14ac:dyDescent="0.3">
      <c r="A63" t="s">
        <v>37</v>
      </c>
      <c r="B63" t="s">
        <v>45</v>
      </c>
      <c r="C63" t="s">
        <v>104</v>
      </c>
      <c r="D63" t="s">
        <v>111</v>
      </c>
      <c r="E63">
        <v>280229</v>
      </c>
      <c r="F63">
        <v>4.95</v>
      </c>
      <c r="G63">
        <v>1.2</v>
      </c>
      <c r="H63" t="s">
        <v>124</v>
      </c>
      <c r="I63" t="s">
        <v>127</v>
      </c>
      <c r="J63" t="s">
        <v>128</v>
      </c>
    </row>
    <row r="64" spans="1:10" x14ac:dyDescent="0.3">
      <c r="A64" t="s">
        <v>38</v>
      </c>
      <c r="B64" t="s">
        <v>45</v>
      </c>
      <c r="C64" t="s">
        <v>105</v>
      </c>
      <c r="D64" t="s">
        <v>116</v>
      </c>
      <c r="E64">
        <v>277897</v>
      </c>
      <c r="F64">
        <v>1.82</v>
      </c>
      <c r="G64">
        <v>0.67</v>
      </c>
      <c r="H64" t="s">
        <v>123</v>
      </c>
      <c r="I64" t="s">
        <v>127</v>
      </c>
      <c r="J64" t="s">
        <v>128</v>
      </c>
    </row>
    <row r="65" spans="1:10" x14ac:dyDescent="0.3">
      <c r="A65" t="s">
        <v>39</v>
      </c>
      <c r="B65" t="s">
        <v>45</v>
      </c>
      <c r="C65" t="s">
        <v>106</v>
      </c>
      <c r="D65" t="s">
        <v>116</v>
      </c>
      <c r="E65">
        <v>249099</v>
      </c>
      <c r="F65">
        <v>4.93</v>
      </c>
      <c r="G65">
        <v>4.2300000000000004</v>
      </c>
      <c r="H65" t="s">
        <v>119</v>
      </c>
      <c r="I65" t="s">
        <v>126</v>
      </c>
      <c r="J65" t="s">
        <v>128</v>
      </c>
    </row>
    <row r="66" spans="1:10" x14ac:dyDescent="0.3">
      <c r="A66" t="s">
        <v>40</v>
      </c>
      <c r="B66" t="s">
        <v>45</v>
      </c>
      <c r="C66" t="s">
        <v>107</v>
      </c>
      <c r="D66" t="s">
        <v>114</v>
      </c>
      <c r="E66">
        <v>268214</v>
      </c>
      <c r="F66">
        <v>2.4</v>
      </c>
      <c r="G66">
        <v>0.73</v>
      </c>
      <c r="H66" t="s">
        <v>121</v>
      </c>
      <c r="I66" t="s">
        <v>125</v>
      </c>
      <c r="J66" t="s">
        <v>128</v>
      </c>
    </row>
    <row r="67" spans="1:10" x14ac:dyDescent="0.3">
      <c r="A67" t="s">
        <v>41</v>
      </c>
      <c r="B67" t="s">
        <v>45</v>
      </c>
      <c r="C67" t="s">
        <v>108</v>
      </c>
      <c r="D67" t="s">
        <v>111</v>
      </c>
      <c r="E67">
        <v>220806</v>
      </c>
      <c r="F67">
        <v>2.95</v>
      </c>
      <c r="G67">
        <v>1.1000000000000001</v>
      </c>
      <c r="H67" t="s">
        <v>119</v>
      </c>
      <c r="I67" t="s">
        <v>127</v>
      </c>
      <c r="J67" t="s">
        <v>128</v>
      </c>
    </row>
    <row r="68" spans="1:10" x14ac:dyDescent="0.3">
      <c r="A68" t="s">
        <v>42</v>
      </c>
      <c r="B68" t="s">
        <v>45</v>
      </c>
      <c r="C68" t="s">
        <v>109</v>
      </c>
      <c r="D68" t="s">
        <v>112</v>
      </c>
      <c r="E68">
        <v>272866</v>
      </c>
      <c r="F68">
        <v>9.85</v>
      </c>
      <c r="G68">
        <v>1.72</v>
      </c>
      <c r="H68" t="s">
        <v>120</v>
      </c>
      <c r="I68" t="s">
        <v>125</v>
      </c>
      <c r="J68" t="s">
        <v>128</v>
      </c>
    </row>
    <row r="69" spans="1:10" x14ac:dyDescent="0.3">
      <c r="A69" t="s">
        <v>43</v>
      </c>
      <c r="B69" t="s">
        <v>45</v>
      </c>
      <c r="C69" t="s">
        <v>110</v>
      </c>
      <c r="D69" t="s">
        <v>111</v>
      </c>
      <c r="E69">
        <v>140852</v>
      </c>
      <c r="F69">
        <v>3.44</v>
      </c>
      <c r="G69">
        <v>0.86</v>
      </c>
      <c r="H69" t="s">
        <v>123</v>
      </c>
      <c r="I69" t="s">
        <v>125</v>
      </c>
      <c r="J69" t="s">
        <v>128</v>
      </c>
    </row>
    <row r="75" spans="1:10" x14ac:dyDescent="0.3">
      <c r="B75" s="1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59C3-EFE2-4EC3-9D11-DF3065E56F7B}">
  <dimension ref="A3:G12"/>
  <sheetViews>
    <sheetView workbookViewId="0">
      <selection activeCell="S58" sqref="S58"/>
    </sheetView>
  </sheetViews>
  <sheetFormatPr defaultRowHeight="14.4" x14ac:dyDescent="0.3"/>
  <cols>
    <col min="1" max="1" width="18.21875" bestFit="1" customWidth="1"/>
    <col min="2" max="2" width="15.5546875" bestFit="1" customWidth="1"/>
    <col min="3" max="3" width="11.77734375" bestFit="1" customWidth="1"/>
    <col min="4" max="4" width="11.44140625" bestFit="1" customWidth="1"/>
    <col min="5" max="5" width="13.109375" bestFit="1" customWidth="1"/>
    <col min="6" max="6" width="11.44140625" bestFit="1" customWidth="1"/>
    <col min="7" max="7" width="13.109375" bestFit="1" customWidth="1"/>
    <col min="8" max="8" width="18.21875" bestFit="1" customWidth="1"/>
    <col min="9" max="9" width="20.6640625" bestFit="1" customWidth="1"/>
    <col min="10" max="10" width="18.21875" bestFit="1" customWidth="1"/>
    <col min="11" max="11" width="20.6640625" bestFit="1" customWidth="1"/>
    <col min="12" max="12" width="23" bestFit="1" customWidth="1"/>
    <col min="13" max="13" width="25.5546875" bestFit="1" customWidth="1"/>
  </cols>
  <sheetData>
    <row r="3" spans="1:7" x14ac:dyDescent="0.3">
      <c r="A3" s="18" t="s">
        <v>132</v>
      </c>
      <c r="B3" s="18" t="s">
        <v>131</v>
      </c>
    </row>
    <row r="4" spans="1:7" x14ac:dyDescent="0.3">
      <c r="A4" s="18" t="s">
        <v>129</v>
      </c>
      <c r="B4" t="s">
        <v>119</v>
      </c>
      <c r="C4" t="s">
        <v>123</v>
      </c>
      <c r="D4" t="s">
        <v>124</v>
      </c>
      <c r="E4" t="s">
        <v>118</v>
      </c>
      <c r="F4" t="s">
        <v>121</v>
      </c>
      <c r="G4" t="s">
        <v>130</v>
      </c>
    </row>
    <row r="5" spans="1:7" x14ac:dyDescent="0.3">
      <c r="A5" s="19" t="s">
        <v>11</v>
      </c>
      <c r="B5" s="16">
        <v>148214</v>
      </c>
      <c r="C5" s="16"/>
      <c r="D5" s="16"/>
      <c r="E5" s="16"/>
      <c r="F5" s="16"/>
      <c r="G5" s="16">
        <v>148214</v>
      </c>
    </row>
    <row r="6" spans="1:7" x14ac:dyDescent="0.3">
      <c r="A6" s="19" t="s">
        <v>18</v>
      </c>
      <c r="B6" s="16"/>
      <c r="C6" s="16"/>
      <c r="D6" s="16"/>
      <c r="E6" s="16">
        <v>140923</v>
      </c>
      <c r="F6" s="16"/>
      <c r="G6" s="16">
        <v>140923</v>
      </c>
    </row>
    <row r="7" spans="1:7" x14ac:dyDescent="0.3">
      <c r="A7" s="19" t="s">
        <v>21</v>
      </c>
      <c r="B7" s="16"/>
      <c r="C7" s="16"/>
      <c r="D7" s="16"/>
      <c r="E7" s="16">
        <v>85697</v>
      </c>
      <c r="F7" s="16"/>
      <c r="G7" s="16">
        <v>85697</v>
      </c>
    </row>
    <row r="8" spans="1:7" x14ac:dyDescent="0.3">
      <c r="A8" s="19" t="s">
        <v>30</v>
      </c>
      <c r="B8" s="16"/>
      <c r="C8" s="16"/>
      <c r="D8" s="16">
        <v>26910</v>
      </c>
      <c r="E8" s="16"/>
      <c r="F8" s="16"/>
      <c r="G8" s="16">
        <v>26910</v>
      </c>
    </row>
    <row r="9" spans="1:7" x14ac:dyDescent="0.3">
      <c r="A9" s="19" t="s">
        <v>31</v>
      </c>
      <c r="B9" s="16"/>
      <c r="C9" s="16">
        <v>43419</v>
      </c>
      <c r="D9" s="16"/>
      <c r="E9" s="16"/>
      <c r="F9" s="16"/>
      <c r="G9" s="16">
        <v>43419</v>
      </c>
    </row>
    <row r="10" spans="1:7" x14ac:dyDescent="0.3">
      <c r="A10" s="19" t="s">
        <v>36</v>
      </c>
      <c r="B10" s="16"/>
      <c r="C10" s="16"/>
      <c r="D10" s="16">
        <v>35707</v>
      </c>
      <c r="E10" s="16"/>
      <c r="F10" s="16"/>
      <c r="G10" s="16">
        <v>35707</v>
      </c>
    </row>
    <row r="11" spans="1:7" x14ac:dyDescent="0.3">
      <c r="A11" s="19" t="s">
        <v>43</v>
      </c>
      <c r="B11" s="16"/>
      <c r="C11" s="16"/>
      <c r="D11" s="16"/>
      <c r="E11" s="16"/>
      <c r="F11" s="16">
        <v>70859</v>
      </c>
      <c r="G11" s="16">
        <v>70859</v>
      </c>
    </row>
    <row r="12" spans="1:7" x14ac:dyDescent="0.3">
      <c r="A12" s="19" t="s">
        <v>130</v>
      </c>
      <c r="B12" s="16">
        <v>148214</v>
      </c>
      <c r="C12" s="16">
        <v>43419</v>
      </c>
      <c r="D12" s="16">
        <v>62617</v>
      </c>
      <c r="E12" s="16">
        <v>226620</v>
      </c>
      <c r="F12" s="16">
        <v>70859</v>
      </c>
      <c r="G12" s="16">
        <v>551729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5218-1BC7-4808-A335-6CCABCA8C727}">
  <dimension ref="A3:B13"/>
  <sheetViews>
    <sheetView workbookViewId="0">
      <selection activeCell="Z1" sqref="Z1"/>
    </sheetView>
  </sheetViews>
  <sheetFormatPr defaultRowHeight="14.4" x14ac:dyDescent="0.3"/>
  <cols>
    <col min="1" max="1" width="31.21875" bestFit="1" customWidth="1"/>
    <col min="2" max="2" width="18.21875" bestFit="1" customWidth="1"/>
  </cols>
  <sheetData>
    <row r="3" spans="1:2" x14ac:dyDescent="0.3">
      <c r="A3" s="18" t="s">
        <v>129</v>
      </c>
      <c r="B3" t="s">
        <v>132</v>
      </c>
    </row>
    <row r="4" spans="1:2" x14ac:dyDescent="0.3">
      <c r="A4" s="19" t="s">
        <v>20</v>
      </c>
      <c r="B4" s="16">
        <v>129109</v>
      </c>
    </row>
    <row r="5" spans="1:2" x14ac:dyDescent="0.3">
      <c r="A5" s="20" t="s">
        <v>56</v>
      </c>
      <c r="B5" s="16">
        <v>129109</v>
      </c>
    </row>
    <row r="6" spans="1:2" x14ac:dyDescent="0.3">
      <c r="A6" s="21" t="s">
        <v>120</v>
      </c>
      <c r="B6" s="16">
        <v>129109</v>
      </c>
    </row>
    <row r="7" spans="1:2" x14ac:dyDescent="0.3">
      <c r="A7" s="19" t="s">
        <v>34</v>
      </c>
      <c r="B7" s="16">
        <v>63585</v>
      </c>
    </row>
    <row r="8" spans="1:2" x14ac:dyDescent="0.3">
      <c r="A8" s="20" t="s">
        <v>70</v>
      </c>
      <c r="B8" s="16">
        <v>63585</v>
      </c>
    </row>
    <row r="9" spans="1:2" x14ac:dyDescent="0.3">
      <c r="A9" s="21" t="s">
        <v>118</v>
      </c>
      <c r="B9" s="16">
        <v>63585</v>
      </c>
    </row>
    <row r="10" spans="1:2" x14ac:dyDescent="0.3">
      <c r="A10" s="19" t="s">
        <v>40</v>
      </c>
      <c r="B10" s="16">
        <v>59353</v>
      </c>
    </row>
    <row r="11" spans="1:2" x14ac:dyDescent="0.3">
      <c r="A11" s="20" t="s">
        <v>76</v>
      </c>
      <c r="B11" s="16">
        <v>59353</v>
      </c>
    </row>
    <row r="12" spans="1:2" x14ac:dyDescent="0.3">
      <c r="A12" s="21" t="s">
        <v>122</v>
      </c>
      <c r="B12" s="16">
        <v>59353</v>
      </c>
    </row>
    <row r="13" spans="1:2" x14ac:dyDescent="0.3">
      <c r="A13" s="19" t="s">
        <v>130</v>
      </c>
      <c r="B13" s="16">
        <v>252047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B5EA-C356-4BF1-9F7E-C8F4AB70F704}">
  <dimension ref="A3:B6"/>
  <sheetViews>
    <sheetView workbookViewId="0">
      <selection activeCell="B3" sqref="B3"/>
    </sheetView>
  </sheetViews>
  <sheetFormatPr defaultRowHeight="14.4" x14ac:dyDescent="0.3"/>
  <cols>
    <col min="1" max="1" width="15.44140625" bestFit="1" customWidth="1"/>
    <col min="2" max="2" width="18.21875" bestFit="1" customWidth="1"/>
  </cols>
  <sheetData>
    <row r="3" spans="1:2" x14ac:dyDescent="0.3">
      <c r="A3" s="18" t="s">
        <v>129</v>
      </c>
      <c r="B3" t="s">
        <v>132</v>
      </c>
    </row>
    <row r="4" spans="1:2" x14ac:dyDescent="0.3">
      <c r="A4" s="19" t="s">
        <v>23</v>
      </c>
      <c r="B4" s="16">
        <v>102798</v>
      </c>
    </row>
    <row r="5" spans="1:2" x14ac:dyDescent="0.3">
      <c r="A5" s="20" t="s">
        <v>123</v>
      </c>
      <c r="B5" s="16">
        <v>102798</v>
      </c>
    </row>
    <row r="6" spans="1:2" x14ac:dyDescent="0.3">
      <c r="A6" s="19" t="s">
        <v>130</v>
      </c>
      <c r="B6" s="16">
        <v>102798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2180D-DFA8-4A93-B9A1-0568575F8921}">
  <dimension ref="A3:B18"/>
  <sheetViews>
    <sheetView workbookViewId="0">
      <selection activeCell="B9" sqref="B9"/>
    </sheetView>
  </sheetViews>
  <sheetFormatPr defaultRowHeight="14.4" x14ac:dyDescent="0.3"/>
  <cols>
    <col min="1" max="1" width="13" bestFit="1" customWidth="1"/>
    <col min="2" max="2" width="18.21875" bestFit="1" customWidth="1"/>
    <col min="13" max="13" width="8.88671875" customWidth="1"/>
  </cols>
  <sheetData>
    <row r="3" spans="1:2" x14ac:dyDescent="0.3">
      <c r="A3" s="18" t="s">
        <v>129</v>
      </c>
      <c r="B3" t="s">
        <v>132</v>
      </c>
    </row>
    <row r="4" spans="1:2" x14ac:dyDescent="0.3">
      <c r="A4" s="19" t="s">
        <v>13</v>
      </c>
      <c r="B4" s="16">
        <v>103104</v>
      </c>
    </row>
    <row r="5" spans="1:2" x14ac:dyDescent="0.3">
      <c r="A5" s="20" t="s">
        <v>121</v>
      </c>
      <c r="B5" s="16">
        <v>103104</v>
      </c>
    </row>
    <row r="6" spans="1:2" x14ac:dyDescent="0.3">
      <c r="A6" s="19" t="s">
        <v>17</v>
      </c>
      <c r="B6" s="16">
        <v>128859</v>
      </c>
    </row>
    <row r="7" spans="1:2" x14ac:dyDescent="0.3">
      <c r="A7" s="20" t="s">
        <v>122</v>
      </c>
      <c r="B7" s="16">
        <v>128859</v>
      </c>
    </row>
    <row r="8" spans="1:2" x14ac:dyDescent="0.3">
      <c r="A8" s="19" t="s">
        <v>24</v>
      </c>
      <c r="B8" s="16">
        <v>125512</v>
      </c>
    </row>
    <row r="9" spans="1:2" x14ac:dyDescent="0.3">
      <c r="A9" s="20" t="s">
        <v>121</v>
      </c>
      <c r="B9" s="16">
        <v>125512</v>
      </c>
    </row>
    <row r="10" spans="1:2" x14ac:dyDescent="0.3">
      <c r="A10" s="19" t="s">
        <v>27</v>
      </c>
      <c r="B10" s="16">
        <v>28392</v>
      </c>
    </row>
    <row r="11" spans="1:2" x14ac:dyDescent="0.3">
      <c r="A11" s="20" t="s">
        <v>124</v>
      </c>
      <c r="B11" s="16">
        <v>28392</v>
      </c>
    </row>
    <row r="12" spans="1:2" x14ac:dyDescent="0.3">
      <c r="A12" s="19" t="s">
        <v>32</v>
      </c>
      <c r="B12" s="16">
        <v>130687</v>
      </c>
    </row>
    <row r="13" spans="1:2" x14ac:dyDescent="0.3">
      <c r="A13" s="20" t="s">
        <v>121</v>
      </c>
      <c r="B13" s="16">
        <v>130687</v>
      </c>
    </row>
    <row r="14" spans="1:2" x14ac:dyDescent="0.3">
      <c r="A14" s="19" t="s">
        <v>35</v>
      </c>
      <c r="B14" s="16">
        <v>132235</v>
      </c>
    </row>
    <row r="15" spans="1:2" x14ac:dyDescent="0.3">
      <c r="A15" s="20" t="s">
        <v>118</v>
      </c>
      <c r="B15" s="16">
        <v>132235</v>
      </c>
    </row>
    <row r="16" spans="1:2" x14ac:dyDescent="0.3">
      <c r="A16" s="19" t="s">
        <v>42</v>
      </c>
      <c r="B16" s="16">
        <v>20854</v>
      </c>
    </row>
    <row r="17" spans="1:2" x14ac:dyDescent="0.3">
      <c r="A17" s="20" t="s">
        <v>120</v>
      </c>
      <c r="B17" s="16">
        <v>20854</v>
      </c>
    </row>
    <row r="18" spans="1:2" x14ac:dyDescent="0.3">
      <c r="A18" s="19" t="s">
        <v>130</v>
      </c>
      <c r="B18" s="16">
        <v>669643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4147-EE51-4F5D-92DF-26D9C04B954E}">
  <dimension ref="A3:B18"/>
  <sheetViews>
    <sheetView workbookViewId="0">
      <selection activeCell="A3" sqref="A3"/>
    </sheetView>
  </sheetViews>
  <sheetFormatPr defaultRowHeight="14.4" x14ac:dyDescent="0.3"/>
  <cols>
    <col min="1" max="1" width="13.109375" bestFit="1" customWidth="1"/>
    <col min="2" max="2" width="18.21875" bestFit="1" customWidth="1"/>
  </cols>
  <sheetData>
    <row r="3" spans="1:2" x14ac:dyDescent="0.3">
      <c r="A3" s="18" t="s">
        <v>129</v>
      </c>
      <c r="B3" t="s">
        <v>132</v>
      </c>
    </row>
    <row r="4" spans="1:2" x14ac:dyDescent="0.3">
      <c r="A4" s="19" t="s">
        <v>10</v>
      </c>
      <c r="B4" s="16">
        <v>20860</v>
      </c>
    </row>
    <row r="5" spans="1:2" x14ac:dyDescent="0.3">
      <c r="A5" s="20" t="s">
        <v>118</v>
      </c>
      <c r="B5" s="16">
        <v>20860</v>
      </c>
    </row>
    <row r="6" spans="1:2" x14ac:dyDescent="0.3">
      <c r="A6" s="19" t="s">
        <v>15</v>
      </c>
      <c r="B6" s="16">
        <v>149981</v>
      </c>
    </row>
    <row r="7" spans="1:2" x14ac:dyDescent="0.3">
      <c r="A7" s="20" t="s">
        <v>120</v>
      </c>
      <c r="B7" s="16">
        <v>149981</v>
      </c>
    </row>
    <row r="8" spans="1:2" x14ac:dyDescent="0.3">
      <c r="A8" s="19" t="s">
        <v>19</v>
      </c>
      <c r="B8" s="16">
        <v>100077</v>
      </c>
    </row>
    <row r="9" spans="1:2" x14ac:dyDescent="0.3">
      <c r="A9" s="20" t="s">
        <v>119</v>
      </c>
      <c r="B9" s="16">
        <v>100077</v>
      </c>
    </row>
    <row r="10" spans="1:2" x14ac:dyDescent="0.3">
      <c r="A10" s="19" t="s">
        <v>22</v>
      </c>
      <c r="B10" s="16">
        <v>146678</v>
      </c>
    </row>
    <row r="11" spans="1:2" x14ac:dyDescent="0.3">
      <c r="A11" s="20" t="s">
        <v>120</v>
      </c>
      <c r="B11" s="16">
        <v>146678</v>
      </c>
    </row>
    <row r="12" spans="1:2" x14ac:dyDescent="0.3">
      <c r="A12" s="19" t="s">
        <v>28</v>
      </c>
      <c r="B12" s="16">
        <v>99575</v>
      </c>
    </row>
    <row r="13" spans="1:2" x14ac:dyDescent="0.3">
      <c r="A13" s="20" t="s">
        <v>120</v>
      </c>
      <c r="B13" s="16">
        <v>99575</v>
      </c>
    </row>
    <row r="14" spans="1:2" x14ac:dyDescent="0.3">
      <c r="A14" s="19" t="s">
        <v>33</v>
      </c>
      <c r="B14" s="16">
        <v>139324</v>
      </c>
    </row>
    <row r="15" spans="1:2" x14ac:dyDescent="0.3">
      <c r="A15" s="20" t="s">
        <v>119</v>
      </c>
      <c r="B15" s="16">
        <v>139324</v>
      </c>
    </row>
    <row r="16" spans="1:2" x14ac:dyDescent="0.3">
      <c r="A16" s="19" t="s">
        <v>39</v>
      </c>
      <c r="B16" s="16">
        <v>113557</v>
      </c>
    </row>
    <row r="17" spans="1:2" x14ac:dyDescent="0.3">
      <c r="A17" s="20" t="s">
        <v>119</v>
      </c>
      <c r="B17" s="16">
        <v>113557</v>
      </c>
    </row>
    <row r="18" spans="1:2" x14ac:dyDescent="0.3">
      <c r="A18" s="19" t="s">
        <v>130</v>
      </c>
      <c r="B18" s="16">
        <v>770052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39BF-A9B0-4B62-8FF3-F29ECD2009A5}">
  <dimension ref="A3:B14"/>
  <sheetViews>
    <sheetView workbookViewId="0">
      <selection activeCell="I27" sqref="I26:I27"/>
    </sheetView>
  </sheetViews>
  <sheetFormatPr defaultRowHeight="14.4" x14ac:dyDescent="0.3"/>
  <cols>
    <col min="1" max="1" width="13.109375" bestFit="1" customWidth="1"/>
    <col min="2" max="2" width="18.21875" bestFit="1" customWidth="1"/>
  </cols>
  <sheetData>
    <row r="3" spans="1:2" x14ac:dyDescent="0.3">
      <c r="A3" s="18" t="s">
        <v>129</v>
      </c>
      <c r="B3" t="s">
        <v>132</v>
      </c>
    </row>
    <row r="4" spans="1:2" x14ac:dyDescent="0.3">
      <c r="A4" s="19" t="s">
        <v>12</v>
      </c>
      <c r="B4" s="16">
        <v>84820</v>
      </c>
    </row>
    <row r="5" spans="1:2" x14ac:dyDescent="0.3">
      <c r="A5" s="20" t="s">
        <v>120</v>
      </c>
      <c r="B5" s="16">
        <v>84820</v>
      </c>
    </row>
    <row r="6" spans="1:2" x14ac:dyDescent="0.3">
      <c r="A6" s="19" t="s">
        <v>26</v>
      </c>
      <c r="B6" s="16">
        <v>149312</v>
      </c>
    </row>
    <row r="7" spans="1:2" x14ac:dyDescent="0.3">
      <c r="A7" s="20" t="s">
        <v>119</v>
      </c>
      <c r="B7" s="16">
        <v>149312</v>
      </c>
    </row>
    <row r="8" spans="1:2" x14ac:dyDescent="0.3">
      <c r="A8" s="19" t="s">
        <v>29</v>
      </c>
      <c r="B8" s="16">
        <v>118018</v>
      </c>
    </row>
    <row r="9" spans="1:2" x14ac:dyDescent="0.3">
      <c r="A9" s="20" t="s">
        <v>122</v>
      </c>
      <c r="B9" s="16">
        <v>118018</v>
      </c>
    </row>
    <row r="10" spans="1:2" x14ac:dyDescent="0.3">
      <c r="A10" s="19" t="s">
        <v>37</v>
      </c>
      <c r="B10" s="16">
        <v>26776</v>
      </c>
    </row>
    <row r="11" spans="1:2" x14ac:dyDescent="0.3">
      <c r="A11" s="20" t="s">
        <v>120</v>
      </c>
      <c r="B11" s="16">
        <v>26776</v>
      </c>
    </row>
    <row r="12" spans="1:2" x14ac:dyDescent="0.3">
      <c r="A12" s="19" t="s">
        <v>38</v>
      </c>
      <c r="B12" s="16">
        <v>139101</v>
      </c>
    </row>
    <row r="13" spans="1:2" x14ac:dyDescent="0.3">
      <c r="A13" s="20" t="s">
        <v>122</v>
      </c>
      <c r="B13" s="16">
        <v>139101</v>
      </c>
    </row>
    <row r="14" spans="1:2" x14ac:dyDescent="0.3">
      <c r="A14" s="19" t="s">
        <v>130</v>
      </c>
      <c r="B14" s="16">
        <v>518027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13A3-7FA5-410E-969C-DD696F2BA4A2}">
  <dimension ref="A3:B12"/>
  <sheetViews>
    <sheetView workbookViewId="0">
      <selection activeCell="B9" sqref="B9"/>
    </sheetView>
  </sheetViews>
  <sheetFormatPr defaultRowHeight="14.4" x14ac:dyDescent="0.3"/>
  <cols>
    <col min="1" max="1" width="13.109375" bestFit="1" customWidth="1"/>
    <col min="2" max="2" width="18.21875" bestFit="1" customWidth="1"/>
  </cols>
  <sheetData>
    <row r="3" spans="1:2" x14ac:dyDescent="0.3">
      <c r="A3" s="18" t="s">
        <v>129</v>
      </c>
      <c r="B3" t="s">
        <v>132</v>
      </c>
    </row>
    <row r="4" spans="1:2" x14ac:dyDescent="0.3">
      <c r="A4" s="19" t="s">
        <v>14</v>
      </c>
      <c r="B4" s="16">
        <v>45658</v>
      </c>
    </row>
    <row r="5" spans="1:2" x14ac:dyDescent="0.3">
      <c r="A5" s="20" t="s">
        <v>119</v>
      </c>
      <c r="B5" s="16">
        <v>45658</v>
      </c>
    </row>
    <row r="6" spans="1:2" x14ac:dyDescent="0.3">
      <c r="A6" s="19" t="s">
        <v>16</v>
      </c>
      <c r="B6" s="16">
        <v>89092</v>
      </c>
    </row>
    <row r="7" spans="1:2" x14ac:dyDescent="0.3">
      <c r="A7" s="20" t="s">
        <v>119</v>
      </c>
      <c r="B7" s="16">
        <v>89092</v>
      </c>
    </row>
    <row r="8" spans="1:2" x14ac:dyDescent="0.3">
      <c r="A8" s="19" t="s">
        <v>25</v>
      </c>
      <c r="B8" s="16">
        <v>87563</v>
      </c>
    </row>
    <row r="9" spans="1:2" x14ac:dyDescent="0.3">
      <c r="A9" s="20" t="s">
        <v>122</v>
      </c>
      <c r="B9" s="16">
        <v>87563</v>
      </c>
    </row>
    <row r="10" spans="1:2" x14ac:dyDescent="0.3">
      <c r="A10" s="19" t="s">
        <v>41</v>
      </c>
      <c r="B10" s="16">
        <v>105616</v>
      </c>
    </row>
    <row r="11" spans="1:2" x14ac:dyDescent="0.3">
      <c r="A11" s="20" t="s">
        <v>121</v>
      </c>
      <c r="B11" s="16">
        <v>105616</v>
      </c>
    </row>
    <row r="12" spans="1:2" x14ac:dyDescent="0.3">
      <c r="A12" s="19" t="s">
        <v>130</v>
      </c>
      <c r="B12" s="16">
        <v>327929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8B59-DAD4-4B4B-AD15-7C2209B63E58}">
  <dimension ref="A1:K35"/>
  <sheetViews>
    <sheetView topLeftCell="E1" workbookViewId="0">
      <selection activeCell="K3" sqref="K3"/>
    </sheetView>
  </sheetViews>
  <sheetFormatPr defaultRowHeight="14.4" x14ac:dyDescent="0.3"/>
  <cols>
    <col min="1" max="1" width="19" customWidth="1"/>
    <col min="2" max="2" width="12.88671875" customWidth="1"/>
    <col min="3" max="3" width="28.44140625" bestFit="1" customWidth="1"/>
    <col min="4" max="4" width="16.44140625" customWidth="1"/>
    <col min="5" max="5" width="20.33203125" style="16" customWidth="1"/>
    <col min="6" max="6" width="14.109375" bestFit="1" customWidth="1"/>
    <col min="7" max="7" width="17.88671875" bestFit="1" customWidth="1"/>
    <col min="8" max="8" width="22.21875" customWidth="1"/>
    <col min="9" max="9" width="33.5546875" customWidth="1"/>
    <col min="10" max="10" width="98" bestFit="1" customWidth="1"/>
    <col min="11" max="11" width="19.77734375" customWidth="1"/>
  </cols>
  <sheetData>
    <row r="1" spans="1:11" x14ac:dyDescent="0.3">
      <c r="A1" s="11" t="s">
        <v>0</v>
      </c>
      <c r="B1" s="11" t="s">
        <v>1</v>
      </c>
      <c r="C1" s="11" t="s">
        <v>2</v>
      </c>
      <c r="D1" s="11" t="s">
        <v>3</v>
      </c>
      <c r="E1" s="12" t="s">
        <v>4</v>
      </c>
      <c r="F1" s="11" t="s">
        <v>5</v>
      </c>
      <c r="G1" s="11" t="s">
        <v>6</v>
      </c>
      <c r="H1" s="11" t="s">
        <v>7</v>
      </c>
      <c r="I1" s="11" t="s">
        <v>8</v>
      </c>
      <c r="J1" s="11" t="s">
        <v>9</v>
      </c>
      <c r="K1" s="26" t="s">
        <v>171</v>
      </c>
    </row>
    <row r="2" spans="1:11" x14ac:dyDescent="0.3">
      <c r="A2" s="2" t="s">
        <v>10</v>
      </c>
      <c r="B2" s="3" t="s">
        <v>45</v>
      </c>
      <c r="C2" s="3" t="s">
        <v>46</v>
      </c>
      <c r="D2" s="3" t="s">
        <v>111</v>
      </c>
      <c r="E2" s="13">
        <v>159751</v>
      </c>
      <c r="F2" s="3">
        <v>4</v>
      </c>
      <c r="G2" s="3">
        <v>3.78</v>
      </c>
      <c r="H2" s="3" t="s">
        <v>119</v>
      </c>
      <c r="I2" s="3" t="s">
        <v>125</v>
      </c>
      <c r="J2" s="4" t="s">
        <v>128</v>
      </c>
      <c r="K2" s="16">
        <f>SUM(E2:E35)</f>
        <v>6693703</v>
      </c>
    </row>
    <row r="3" spans="1:11" x14ac:dyDescent="0.3">
      <c r="A3" s="5" t="s">
        <v>11</v>
      </c>
      <c r="B3" s="6" t="s">
        <v>45</v>
      </c>
      <c r="C3" s="6" t="s">
        <v>80</v>
      </c>
      <c r="D3" s="6" t="s">
        <v>114</v>
      </c>
      <c r="E3" s="14">
        <v>246805</v>
      </c>
      <c r="F3" s="6">
        <v>5.69</v>
      </c>
      <c r="G3" s="6">
        <v>4.17</v>
      </c>
      <c r="H3" s="6" t="s">
        <v>123</v>
      </c>
      <c r="I3" s="6" t="s">
        <v>125</v>
      </c>
      <c r="J3" s="7" t="s">
        <v>128</v>
      </c>
    </row>
    <row r="4" spans="1:11" x14ac:dyDescent="0.3">
      <c r="A4" s="2" t="s">
        <v>12</v>
      </c>
      <c r="B4" s="3" t="s">
        <v>45</v>
      </c>
      <c r="C4" s="3" t="s">
        <v>81</v>
      </c>
      <c r="D4" s="3" t="s">
        <v>115</v>
      </c>
      <c r="E4" s="13">
        <v>136202</v>
      </c>
      <c r="F4" s="3">
        <v>3.46</v>
      </c>
      <c r="G4" s="3">
        <v>0.68</v>
      </c>
      <c r="H4" s="3" t="s">
        <v>118</v>
      </c>
      <c r="I4" s="3" t="s">
        <v>125</v>
      </c>
      <c r="J4" s="4" t="s">
        <v>128</v>
      </c>
    </row>
    <row r="5" spans="1:11" x14ac:dyDescent="0.3">
      <c r="A5" s="5" t="s">
        <v>13</v>
      </c>
      <c r="B5" s="6" t="s">
        <v>45</v>
      </c>
      <c r="C5" s="6" t="s">
        <v>82</v>
      </c>
      <c r="D5" s="6" t="s">
        <v>113</v>
      </c>
      <c r="E5" s="14">
        <v>253154</v>
      </c>
      <c r="F5" s="6">
        <v>8.9700000000000006</v>
      </c>
      <c r="G5" s="6">
        <v>4.1399999999999997</v>
      </c>
      <c r="H5" s="6" t="s">
        <v>118</v>
      </c>
      <c r="I5" s="6" t="s">
        <v>125</v>
      </c>
      <c r="J5" s="7" t="s">
        <v>128</v>
      </c>
    </row>
    <row r="6" spans="1:11" x14ac:dyDescent="0.3">
      <c r="A6" s="2" t="s">
        <v>14</v>
      </c>
      <c r="B6" s="3" t="s">
        <v>45</v>
      </c>
      <c r="C6" s="3" t="s">
        <v>83</v>
      </c>
      <c r="D6" s="3" t="s">
        <v>111</v>
      </c>
      <c r="E6" s="13">
        <v>189752</v>
      </c>
      <c r="F6" s="3">
        <v>8.75</v>
      </c>
      <c r="G6" s="3">
        <v>2.2400000000000002</v>
      </c>
      <c r="H6" s="3" t="s">
        <v>118</v>
      </c>
      <c r="I6" s="3" t="s">
        <v>127</v>
      </c>
      <c r="J6" s="4" t="s">
        <v>128</v>
      </c>
    </row>
    <row r="7" spans="1:11" x14ac:dyDescent="0.3">
      <c r="A7" s="5" t="s">
        <v>15</v>
      </c>
      <c r="B7" s="6" t="s">
        <v>45</v>
      </c>
      <c r="C7" s="6" t="s">
        <v>84</v>
      </c>
      <c r="D7" s="6" t="s">
        <v>115</v>
      </c>
      <c r="E7" s="14">
        <v>58155</v>
      </c>
      <c r="F7" s="6">
        <v>9.2200000000000006</v>
      </c>
      <c r="G7" s="6">
        <v>1.44</v>
      </c>
      <c r="H7" s="6" t="s">
        <v>119</v>
      </c>
      <c r="I7" s="6" t="s">
        <v>125</v>
      </c>
      <c r="J7" s="7" t="s">
        <v>128</v>
      </c>
    </row>
    <row r="8" spans="1:11" x14ac:dyDescent="0.3">
      <c r="A8" s="2" t="s">
        <v>16</v>
      </c>
      <c r="B8" s="3" t="s">
        <v>45</v>
      </c>
      <c r="C8" s="3" t="s">
        <v>85</v>
      </c>
      <c r="D8" s="3" t="s">
        <v>112</v>
      </c>
      <c r="E8" s="13">
        <v>197718</v>
      </c>
      <c r="F8" s="3">
        <v>8.43</v>
      </c>
      <c r="G8" s="3">
        <v>4.18</v>
      </c>
      <c r="H8" s="3" t="s">
        <v>119</v>
      </c>
      <c r="I8" s="3" t="s">
        <v>125</v>
      </c>
      <c r="J8" s="4" t="s">
        <v>128</v>
      </c>
    </row>
    <row r="9" spans="1:11" x14ac:dyDescent="0.3">
      <c r="A9" s="5" t="s">
        <v>17</v>
      </c>
      <c r="B9" s="6" t="s">
        <v>45</v>
      </c>
      <c r="C9" s="6" t="s">
        <v>53</v>
      </c>
      <c r="D9" s="6" t="s">
        <v>114</v>
      </c>
      <c r="E9" s="14">
        <v>183121</v>
      </c>
      <c r="F9" s="6">
        <v>11.96</v>
      </c>
      <c r="G9" s="6">
        <v>4.84</v>
      </c>
      <c r="H9" s="6" t="s">
        <v>122</v>
      </c>
      <c r="I9" s="6" t="s">
        <v>125</v>
      </c>
      <c r="J9" s="7" t="s">
        <v>128</v>
      </c>
    </row>
    <row r="10" spans="1:11" x14ac:dyDescent="0.3">
      <c r="A10" s="2" t="s">
        <v>18</v>
      </c>
      <c r="B10" s="3" t="s">
        <v>45</v>
      </c>
      <c r="C10" s="3" t="s">
        <v>86</v>
      </c>
      <c r="D10" s="3" t="s">
        <v>113</v>
      </c>
      <c r="E10" s="13">
        <v>224088</v>
      </c>
      <c r="F10" s="3">
        <v>4.43</v>
      </c>
      <c r="G10" s="3">
        <v>3.65</v>
      </c>
      <c r="H10" s="3" t="s">
        <v>124</v>
      </c>
      <c r="I10" s="3" t="s">
        <v>127</v>
      </c>
      <c r="J10" s="4" t="s">
        <v>128</v>
      </c>
    </row>
    <row r="11" spans="1:11" x14ac:dyDescent="0.3">
      <c r="A11" s="5" t="s">
        <v>19</v>
      </c>
      <c r="B11" s="6" t="s">
        <v>45</v>
      </c>
      <c r="C11" s="6" t="s">
        <v>87</v>
      </c>
      <c r="D11" s="6" t="s">
        <v>114</v>
      </c>
      <c r="E11" s="14">
        <v>176071</v>
      </c>
      <c r="F11" s="6">
        <v>10.82</v>
      </c>
      <c r="G11" s="6">
        <v>4.33</v>
      </c>
      <c r="H11" s="6" t="s">
        <v>120</v>
      </c>
      <c r="I11" s="6" t="s">
        <v>127</v>
      </c>
      <c r="J11" s="7" t="s">
        <v>128</v>
      </c>
    </row>
    <row r="12" spans="1:11" x14ac:dyDescent="0.3">
      <c r="A12" s="2" t="s">
        <v>20</v>
      </c>
      <c r="B12" s="3" t="s">
        <v>45</v>
      </c>
      <c r="C12" s="3" t="s">
        <v>88</v>
      </c>
      <c r="D12" s="3" t="s">
        <v>114</v>
      </c>
      <c r="E12" s="13">
        <v>234423</v>
      </c>
      <c r="F12" s="3">
        <v>7.87</v>
      </c>
      <c r="G12" s="3">
        <v>0.54</v>
      </c>
      <c r="H12" s="3" t="s">
        <v>120</v>
      </c>
      <c r="I12" s="3" t="s">
        <v>126</v>
      </c>
      <c r="J12" s="4" t="s">
        <v>128</v>
      </c>
    </row>
    <row r="13" spans="1:11" x14ac:dyDescent="0.3">
      <c r="A13" s="5" t="s">
        <v>21</v>
      </c>
      <c r="B13" s="6" t="s">
        <v>45</v>
      </c>
      <c r="C13" s="6" t="s">
        <v>89</v>
      </c>
      <c r="D13" s="6" t="s">
        <v>113</v>
      </c>
      <c r="E13" s="14">
        <v>293548</v>
      </c>
      <c r="F13" s="6">
        <v>4.4800000000000004</v>
      </c>
      <c r="G13" s="6">
        <v>1.87</v>
      </c>
      <c r="H13" s="6" t="s">
        <v>122</v>
      </c>
      <c r="I13" s="6" t="s">
        <v>125</v>
      </c>
      <c r="J13" s="7" t="s">
        <v>128</v>
      </c>
    </row>
    <row r="14" spans="1:11" x14ac:dyDescent="0.3">
      <c r="A14" s="2" t="s">
        <v>22</v>
      </c>
      <c r="B14" s="3" t="s">
        <v>45</v>
      </c>
      <c r="C14" s="3" t="s">
        <v>90</v>
      </c>
      <c r="D14" s="3" t="s">
        <v>113</v>
      </c>
      <c r="E14" s="13">
        <v>162296</v>
      </c>
      <c r="F14" s="3">
        <v>3.35</v>
      </c>
      <c r="G14" s="3">
        <v>0.57999999999999996</v>
      </c>
      <c r="H14" s="3" t="s">
        <v>121</v>
      </c>
      <c r="I14" s="3" t="s">
        <v>125</v>
      </c>
      <c r="J14" s="4" t="s">
        <v>128</v>
      </c>
    </row>
    <row r="15" spans="1:11" x14ac:dyDescent="0.3">
      <c r="A15" s="5" t="s">
        <v>23</v>
      </c>
      <c r="B15" s="6" t="s">
        <v>45</v>
      </c>
      <c r="C15" s="6" t="s">
        <v>91</v>
      </c>
      <c r="D15" s="6" t="s">
        <v>114</v>
      </c>
      <c r="E15" s="14">
        <v>280594</v>
      </c>
      <c r="F15" s="6">
        <v>8.4</v>
      </c>
      <c r="G15" s="6">
        <v>3.06</v>
      </c>
      <c r="H15" s="6" t="s">
        <v>124</v>
      </c>
      <c r="I15" s="6" t="s">
        <v>126</v>
      </c>
      <c r="J15" s="7" t="s">
        <v>128</v>
      </c>
    </row>
    <row r="16" spans="1:11" x14ac:dyDescent="0.3">
      <c r="A16" s="2" t="s">
        <v>24</v>
      </c>
      <c r="B16" s="3" t="s">
        <v>45</v>
      </c>
      <c r="C16" s="3" t="s">
        <v>92</v>
      </c>
      <c r="D16" s="3" t="s">
        <v>113</v>
      </c>
      <c r="E16" s="13">
        <v>69830</v>
      </c>
      <c r="F16" s="3">
        <v>4.13</v>
      </c>
      <c r="G16" s="3">
        <v>3.15</v>
      </c>
      <c r="H16" s="3" t="s">
        <v>120</v>
      </c>
      <c r="I16" s="3" t="s">
        <v>127</v>
      </c>
      <c r="J16" s="4" t="s">
        <v>128</v>
      </c>
    </row>
    <row r="17" spans="1:10" x14ac:dyDescent="0.3">
      <c r="A17" s="5" t="s">
        <v>25</v>
      </c>
      <c r="B17" s="6" t="s">
        <v>45</v>
      </c>
      <c r="C17" s="6" t="s">
        <v>93</v>
      </c>
      <c r="D17" s="6" t="s">
        <v>113</v>
      </c>
      <c r="E17" s="14">
        <v>186967</v>
      </c>
      <c r="F17" s="6">
        <v>8.1300000000000008</v>
      </c>
      <c r="G17" s="6">
        <v>4.08</v>
      </c>
      <c r="H17" s="6" t="s">
        <v>120</v>
      </c>
      <c r="I17" s="6" t="s">
        <v>125</v>
      </c>
      <c r="J17" s="7" t="s">
        <v>128</v>
      </c>
    </row>
    <row r="18" spans="1:10" x14ac:dyDescent="0.3">
      <c r="A18" s="2" t="s">
        <v>26</v>
      </c>
      <c r="B18" s="3" t="s">
        <v>45</v>
      </c>
      <c r="C18" s="3" t="s">
        <v>94</v>
      </c>
      <c r="D18" s="3" t="s">
        <v>114</v>
      </c>
      <c r="E18" s="13">
        <v>157455</v>
      </c>
      <c r="F18" s="3">
        <v>10.57</v>
      </c>
      <c r="G18" s="3">
        <v>1.54</v>
      </c>
      <c r="H18" s="3" t="s">
        <v>124</v>
      </c>
      <c r="I18" s="3" t="s">
        <v>125</v>
      </c>
      <c r="J18" s="4" t="s">
        <v>128</v>
      </c>
    </row>
    <row r="19" spans="1:10" x14ac:dyDescent="0.3">
      <c r="A19" s="5" t="s">
        <v>27</v>
      </c>
      <c r="B19" s="6" t="s">
        <v>45</v>
      </c>
      <c r="C19" s="6" t="s">
        <v>63</v>
      </c>
      <c r="D19" s="6" t="s">
        <v>114</v>
      </c>
      <c r="E19" s="14">
        <v>159616</v>
      </c>
      <c r="F19" s="6">
        <v>1.96</v>
      </c>
      <c r="G19" s="6">
        <v>4.9800000000000004</v>
      </c>
      <c r="H19" s="6" t="s">
        <v>119</v>
      </c>
      <c r="I19" s="6" t="s">
        <v>125</v>
      </c>
      <c r="J19" s="7" t="s">
        <v>128</v>
      </c>
    </row>
    <row r="20" spans="1:10" x14ac:dyDescent="0.3">
      <c r="A20" s="2" t="s">
        <v>28</v>
      </c>
      <c r="B20" s="3" t="s">
        <v>45</v>
      </c>
      <c r="C20" s="3" t="s">
        <v>95</v>
      </c>
      <c r="D20" s="3" t="s">
        <v>116</v>
      </c>
      <c r="E20" s="13">
        <v>93525</v>
      </c>
      <c r="F20" s="3">
        <v>5.39</v>
      </c>
      <c r="G20" s="3">
        <v>0.56999999999999995</v>
      </c>
      <c r="H20" s="3" t="s">
        <v>121</v>
      </c>
      <c r="I20" s="3" t="s">
        <v>127</v>
      </c>
      <c r="J20" s="4" t="s">
        <v>128</v>
      </c>
    </row>
    <row r="21" spans="1:10" x14ac:dyDescent="0.3">
      <c r="A21" s="5" t="s">
        <v>29</v>
      </c>
      <c r="B21" s="6" t="s">
        <v>45</v>
      </c>
      <c r="C21" s="6" t="s">
        <v>96</v>
      </c>
      <c r="D21" s="6" t="s">
        <v>115</v>
      </c>
      <c r="E21" s="14">
        <v>226308</v>
      </c>
      <c r="F21" s="6">
        <v>7.51</v>
      </c>
      <c r="G21" s="6">
        <v>4.91</v>
      </c>
      <c r="H21" s="6" t="s">
        <v>120</v>
      </c>
      <c r="I21" s="6" t="s">
        <v>126</v>
      </c>
      <c r="J21" s="7" t="s">
        <v>128</v>
      </c>
    </row>
    <row r="22" spans="1:10" x14ac:dyDescent="0.3">
      <c r="A22" s="2" t="s">
        <v>30</v>
      </c>
      <c r="B22" s="3" t="s">
        <v>45</v>
      </c>
      <c r="C22" s="3" t="s">
        <v>97</v>
      </c>
      <c r="D22" s="3" t="s">
        <v>117</v>
      </c>
      <c r="E22" s="13">
        <v>282351</v>
      </c>
      <c r="F22" s="3">
        <v>10.44</v>
      </c>
      <c r="G22" s="3">
        <v>1.93</v>
      </c>
      <c r="H22" s="3" t="s">
        <v>121</v>
      </c>
      <c r="I22" s="3" t="s">
        <v>126</v>
      </c>
      <c r="J22" s="4" t="s">
        <v>128</v>
      </c>
    </row>
    <row r="23" spans="1:10" x14ac:dyDescent="0.3">
      <c r="A23" s="5" t="s">
        <v>31</v>
      </c>
      <c r="B23" s="6" t="s">
        <v>45</v>
      </c>
      <c r="C23" s="6" t="s">
        <v>98</v>
      </c>
      <c r="D23" s="6" t="s">
        <v>115</v>
      </c>
      <c r="E23" s="14">
        <v>204165</v>
      </c>
      <c r="F23" s="6">
        <v>8.81</v>
      </c>
      <c r="G23" s="6">
        <v>3.07</v>
      </c>
      <c r="H23" s="6" t="s">
        <v>123</v>
      </c>
      <c r="I23" s="6" t="s">
        <v>126</v>
      </c>
      <c r="J23" s="7" t="s">
        <v>128</v>
      </c>
    </row>
    <row r="24" spans="1:10" x14ac:dyDescent="0.3">
      <c r="A24" s="2" t="s">
        <v>32</v>
      </c>
      <c r="B24" s="3" t="s">
        <v>45</v>
      </c>
      <c r="C24" s="3" t="s">
        <v>99</v>
      </c>
      <c r="D24" s="3" t="s">
        <v>111</v>
      </c>
      <c r="E24" s="13">
        <v>68070</v>
      </c>
      <c r="F24" s="3">
        <v>2.97</v>
      </c>
      <c r="G24" s="3">
        <v>2.83</v>
      </c>
      <c r="H24" s="3" t="s">
        <v>120</v>
      </c>
      <c r="I24" s="3" t="s">
        <v>127</v>
      </c>
      <c r="J24" s="4" t="s">
        <v>128</v>
      </c>
    </row>
    <row r="25" spans="1:10" x14ac:dyDescent="0.3">
      <c r="A25" s="5" t="s">
        <v>33</v>
      </c>
      <c r="B25" s="6" t="s">
        <v>45</v>
      </c>
      <c r="C25" s="6" t="s">
        <v>100</v>
      </c>
      <c r="D25" s="6" t="s">
        <v>115</v>
      </c>
      <c r="E25" s="14">
        <v>155864</v>
      </c>
      <c r="F25" s="6">
        <v>8.8800000000000008</v>
      </c>
      <c r="G25" s="6">
        <v>2.12</v>
      </c>
      <c r="H25" s="6" t="s">
        <v>122</v>
      </c>
      <c r="I25" s="6" t="s">
        <v>126</v>
      </c>
      <c r="J25" s="7" t="s">
        <v>128</v>
      </c>
    </row>
    <row r="26" spans="1:10" x14ac:dyDescent="0.3">
      <c r="A26" s="2" t="s">
        <v>34</v>
      </c>
      <c r="B26" s="3" t="s">
        <v>45</v>
      </c>
      <c r="C26" s="3" t="s">
        <v>101</v>
      </c>
      <c r="D26" s="3" t="s">
        <v>111</v>
      </c>
      <c r="E26" s="13">
        <v>285362</v>
      </c>
      <c r="F26" s="3">
        <v>4.1900000000000004</v>
      </c>
      <c r="G26" s="3">
        <v>3.25</v>
      </c>
      <c r="H26" s="3" t="s">
        <v>123</v>
      </c>
      <c r="I26" s="3" t="s">
        <v>126</v>
      </c>
      <c r="J26" s="4" t="s">
        <v>128</v>
      </c>
    </row>
    <row r="27" spans="1:10" x14ac:dyDescent="0.3">
      <c r="A27" s="5" t="s">
        <v>35</v>
      </c>
      <c r="B27" s="6" t="s">
        <v>45</v>
      </c>
      <c r="C27" s="6" t="s">
        <v>102</v>
      </c>
      <c r="D27" s="6" t="s">
        <v>111</v>
      </c>
      <c r="E27" s="14">
        <v>160627</v>
      </c>
      <c r="F27" s="6">
        <v>9.8800000000000008</v>
      </c>
      <c r="G27" s="6">
        <v>3.42</v>
      </c>
      <c r="H27" s="6" t="s">
        <v>122</v>
      </c>
      <c r="I27" s="6" t="s">
        <v>125</v>
      </c>
      <c r="J27" s="7" t="s">
        <v>128</v>
      </c>
    </row>
    <row r="28" spans="1:10" x14ac:dyDescent="0.3">
      <c r="A28" s="2" t="s">
        <v>36</v>
      </c>
      <c r="B28" s="3" t="s">
        <v>45</v>
      </c>
      <c r="C28" s="3" t="s">
        <v>103</v>
      </c>
      <c r="D28" s="3" t="s">
        <v>116</v>
      </c>
      <c r="E28" s="13">
        <v>137922</v>
      </c>
      <c r="F28" s="3">
        <v>5.05</v>
      </c>
      <c r="G28" s="3">
        <v>2.19</v>
      </c>
      <c r="H28" s="3" t="s">
        <v>118</v>
      </c>
      <c r="I28" s="3" t="s">
        <v>126</v>
      </c>
      <c r="J28" s="4" t="s">
        <v>128</v>
      </c>
    </row>
    <row r="29" spans="1:10" x14ac:dyDescent="0.3">
      <c r="A29" s="5" t="s">
        <v>37</v>
      </c>
      <c r="B29" s="6" t="s">
        <v>45</v>
      </c>
      <c r="C29" s="6" t="s">
        <v>104</v>
      </c>
      <c r="D29" s="6" t="s">
        <v>111</v>
      </c>
      <c r="E29" s="14">
        <v>280229</v>
      </c>
      <c r="F29" s="6">
        <v>4.95</v>
      </c>
      <c r="G29" s="6">
        <v>1.2</v>
      </c>
      <c r="H29" s="6" t="s">
        <v>124</v>
      </c>
      <c r="I29" s="6" t="s">
        <v>127</v>
      </c>
      <c r="J29" s="7" t="s">
        <v>128</v>
      </c>
    </row>
    <row r="30" spans="1:10" x14ac:dyDescent="0.3">
      <c r="A30" s="2" t="s">
        <v>38</v>
      </c>
      <c r="B30" s="3" t="s">
        <v>45</v>
      </c>
      <c r="C30" s="3" t="s">
        <v>105</v>
      </c>
      <c r="D30" s="3" t="s">
        <v>116</v>
      </c>
      <c r="E30" s="13">
        <v>277897</v>
      </c>
      <c r="F30" s="3">
        <v>1.82</v>
      </c>
      <c r="G30" s="3">
        <v>0.67</v>
      </c>
      <c r="H30" s="3" t="s">
        <v>123</v>
      </c>
      <c r="I30" s="3" t="s">
        <v>127</v>
      </c>
      <c r="J30" s="4" t="s">
        <v>128</v>
      </c>
    </row>
    <row r="31" spans="1:10" x14ac:dyDescent="0.3">
      <c r="A31" s="5" t="s">
        <v>39</v>
      </c>
      <c r="B31" s="6" t="s">
        <v>45</v>
      </c>
      <c r="C31" s="6" t="s">
        <v>106</v>
      </c>
      <c r="D31" s="6" t="s">
        <v>116</v>
      </c>
      <c r="E31" s="14">
        <v>249099</v>
      </c>
      <c r="F31" s="6">
        <v>4.93</v>
      </c>
      <c r="G31" s="6">
        <v>4.2300000000000004</v>
      </c>
      <c r="H31" s="6" t="s">
        <v>119</v>
      </c>
      <c r="I31" s="6" t="s">
        <v>126</v>
      </c>
      <c r="J31" s="7" t="s">
        <v>128</v>
      </c>
    </row>
    <row r="32" spans="1:10" x14ac:dyDescent="0.3">
      <c r="A32" s="2" t="s">
        <v>40</v>
      </c>
      <c r="B32" s="3" t="s">
        <v>45</v>
      </c>
      <c r="C32" s="3" t="s">
        <v>107</v>
      </c>
      <c r="D32" s="3" t="s">
        <v>114</v>
      </c>
      <c r="E32" s="13">
        <v>268214</v>
      </c>
      <c r="F32" s="3">
        <v>2.4</v>
      </c>
      <c r="G32" s="3">
        <v>0.73</v>
      </c>
      <c r="H32" s="3" t="s">
        <v>121</v>
      </c>
      <c r="I32" s="3" t="s">
        <v>125</v>
      </c>
      <c r="J32" s="4" t="s">
        <v>128</v>
      </c>
    </row>
    <row r="33" spans="1:10" x14ac:dyDescent="0.3">
      <c r="A33" s="5" t="s">
        <v>41</v>
      </c>
      <c r="B33" s="6" t="s">
        <v>45</v>
      </c>
      <c r="C33" s="6" t="s">
        <v>108</v>
      </c>
      <c r="D33" s="6" t="s">
        <v>111</v>
      </c>
      <c r="E33" s="14">
        <v>220806</v>
      </c>
      <c r="F33" s="6">
        <v>2.95</v>
      </c>
      <c r="G33" s="6">
        <v>1.1000000000000001</v>
      </c>
      <c r="H33" s="6" t="s">
        <v>119</v>
      </c>
      <c r="I33" s="6" t="s">
        <v>127</v>
      </c>
      <c r="J33" s="7" t="s">
        <v>128</v>
      </c>
    </row>
    <row r="34" spans="1:10" x14ac:dyDescent="0.3">
      <c r="A34" s="2" t="s">
        <v>42</v>
      </c>
      <c r="B34" s="3" t="s">
        <v>45</v>
      </c>
      <c r="C34" s="3" t="s">
        <v>109</v>
      </c>
      <c r="D34" s="3" t="s">
        <v>112</v>
      </c>
      <c r="E34" s="13">
        <v>272866</v>
      </c>
      <c r="F34" s="3">
        <v>9.85</v>
      </c>
      <c r="G34" s="3">
        <v>1.72</v>
      </c>
      <c r="H34" s="3" t="s">
        <v>120</v>
      </c>
      <c r="I34" s="3" t="s">
        <v>125</v>
      </c>
      <c r="J34" s="4" t="s">
        <v>128</v>
      </c>
    </row>
    <row r="35" spans="1:10" x14ac:dyDescent="0.3">
      <c r="A35" s="8" t="s">
        <v>43</v>
      </c>
      <c r="B35" s="9" t="s">
        <v>45</v>
      </c>
      <c r="C35" s="9" t="s">
        <v>110</v>
      </c>
      <c r="D35" s="9" t="s">
        <v>111</v>
      </c>
      <c r="E35" s="15">
        <v>140852</v>
      </c>
      <c r="F35" s="9">
        <v>3.44</v>
      </c>
      <c r="G35" s="9">
        <v>0.86</v>
      </c>
      <c r="H35" s="9" t="s">
        <v>123</v>
      </c>
      <c r="I35" s="9" t="s">
        <v>125</v>
      </c>
      <c r="J35" s="10" t="s">
        <v>128</v>
      </c>
    </row>
  </sheetData>
  <autoFilter ref="A1:J35" xr:uid="{BCDA8B59-DAD4-4B4B-AD15-7C2209B63E5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563EA-B6EE-49D7-801D-3F06A840EC77}">
  <dimension ref="A3:B8"/>
  <sheetViews>
    <sheetView workbookViewId="0">
      <selection activeCell="M11" sqref="M11"/>
    </sheetView>
  </sheetViews>
  <sheetFormatPr defaultRowHeight="14.4" x14ac:dyDescent="0.3"/>
  <cols>
    <col min="1" max="1" width="13.109375" bestFit="1" customWidth="1"/>
    <col min="2" max="2" width="18.21875" bestFit="1" customWidth="1"/>
  </cols>
  <sheetData>
    <row r="3" spans="1:2" x14ac:dyDescent="0.3">
      <c r="A3" s="18" t="s">
        <v>129</v>
      </c>
      <c r="B3" t="s">
        <v>132</v>
      </c>
    </row>
    <row r="4" spans="1:2" x14ac:dyDescent="0.3">
      <c r="A4" s="19" t="s">
        <v>16</v>
      </c>
      <c r="B4" s="16">
        <v>197718</v>
      </c>
    </row>
    <row r="5" spans="1:2" x14ac:dyDescent="0.3">
      <c r="A5" s="20" t="s">
        <v>119</v>
      </c>
      <c r="B5" s="16">
        <v>197718</v>
      </c>
    </row>
    <row r="6" spans="1:2" x14ac:dyDescent="0.3">
      <c r="A6" s="19" t="s">
        <v>42</v>
      </c>
      <c r="B6" s="16">
        <v>272866</v>
      </c>
    </row>
    <row r="7" spans="1:2" x14ac:dyDescent="0.3">
      <c r="A7" s="20" t="s">
        <v>120</v>
      </c>
      <c r="B7" s="16">
        <v>272866</v>
      </c>
    </row>
    <row r="8" spans="1:2" x14ac:dyDescent="0.3">
      <c r="A8" s="19" t="s">
        <v>130</v>
      </c>
      <c r="B8" s="16">
        <v>470584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60D5-2BAF-42DC-96E4-1E7622ED6F5A}">
  <dimension ref="A3:B6"/>
  <sheetViews>
    <sheetView workbookViewId="0">
      <selection activeCell="I6" sqref="I6"/>
    </sheetView>
  </sheetViews>
  <sheetFormatPr defaultRowHeight="14.4" x14ac:dyDescent="0.3"/>
  <cols>
    <col min="1" max="1" width="12.5546875" bestFit="1" customWidth="1"/>
    <col min="2" max="2" width="18.21875" bestFit="1" customWidth="1"/>
  </cols>
  <sheetData>
    <row r="3" spans="1:2" x14ac:dyDescent="0.3">
      <c r="A3" s="18" t="s">
        <v>129</v>
      </c>
      <c r="B3" t="s">
        <v>132</v>
      </c>
    </row>
    <row r="4" spans="1:2" x14ac:dyDescent="0.3">
      <c r="A4" s="19" t="s">
        <v>30</v>
      </c>
      <c r="B4" s="16">
        <v>282351</v>
      </c>
    </row>
    <row r="5" spans="1:2" x14ac:dyDescent="0.3">
      <c r="A5" s="20" t="s">
        <v>121</v>
      </c>
      <c r="B5" s="16">
        <v>282351</v>
      </c>
    </row>
    <row r="6" spans="1:2" x14ac:dyDescent="0.3">
      <c r="A6" s="19" t="s">
        <v>130</v>
      </c>
      <c r="B6" s="16">
        <v>282351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B93B-66DF-4654-8DAB-5BC56C9369D5}">
  <dimension ref="A3:B12"/>
  <sheetViews>
    <sheetView workbookViewId="0">
      <selection activeCell="A3" sqref="A3"/>
    </sheetView>
  </sheetViews>
  <sheetFormatPr defaultRowHeight="14.4" x14ac:dyDescent="0.3"/>
  <cols>
    <col min="1" max="1" width="15.44140625" bestFit="1" customWidth="1"/>
    <col min="2" max="2" width="18.21875" bestFit="1" customWidth="1"/>
  </cols>
  <sheetData>
    <row r="3" spans="1:2" x14ac:dyDescent="0.3">
      <c r="A3" s="18" t="s">
        <v>129</v>
      </c>
      <c r="B3" t="s">
        <v>132</v>
      </c>
    </row>
    <row r="4" spans="1:2" x14ac:dyDescent="0.3">
      <c r="A4" s="19" t="s">
        <v>28</v>
      </c>
      <c r="B4" s="16">
        <v>93525</v>
      </c>
    </row>
    <row r="5" spans="1:2" x14ac:dyDescent="0.3">
      <c r="A5" s="20" t="s">
        <v>121</v>
      </c>
      <c r="B5" s="16">
        <v>93525</v>
      </c>
    </row>
    <row r="6" spans="1:2" x14ac:dyDescent="0.3">
      <c r="A6" s="19" t="s">
        <v>36</v>
      </c>
      <c r="B6" s="16">
        <v>137922</v>
      </c>
    </row>
    <row r="7" spans="1:2" x14ac:dyDescent="0.3">
      <c r="A7" s="20" t="s">
        <v>118</v>
      </c>
      <c r="B7" s="16">
        <v>137922</v>
      </c>
    </row>
    <row r="8" spans="1:2" x14ac:dyDescent="0.3">
      <c r="A8" s="19" t="s">
        <v>38</v>
      </c>
      <c r="B8" s="16">
        <v>277897</v>
      </c>
    </row>
    <row r="9" spans="1:2" x14ac:dyDescent="0.3">
      <c r="A9" s="20" t="s">
        <v>123</v>
      </c>
      <c r="B9" s="16">
        <v>277897</v>
      </c>
    </row>
    <row r="10" spans="1:2" x14ac:dyDescent="0.3">
      <c r="A10" s="19" t="s">
        <v>39</v>
      </c>
      <c r="B10" s="16">
        <v>249099</v>
      </c>
    </row>
    <row r="11" spans="1:2" x14ac:dyDescent="0.3">
      <c r="A11" s="20" t="s">
        <v>119</v>
      </c>
      <c r="B11" s="16">
        <v>249099</v>
      </c>
    </row>
    <row r="12" spans="1:2" x14ac:dyDescent="0.3">
      <c r="A12" s="19" t="s">
        <v>130</v>
      </c>
      <c r="B12" s="16">
        <v>758443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91C7-30B3-4EA8-8AE0-AC2533749A61}">
  <dimension ref="A3:B20"/>
  <sheetViews>
    <sheetView workbookViewId="0">
      <selection activeCell="G2" sqref="G2"/>
    </sheetView>
  </sheetViews>
  <sheetFormatPr defaultRowHeight="14.4" x14ac:dyDescent="0.3"/>
  <cols>
    <col min="1" max="1" width="15.44140625" bestFit="1" customWidth="1"/>
    <col min="2" max="2" width="18.21875" bestFit="1" customWidth="1"/>
  </cols>
  <sheetData>
    <row r="3" spans="1:2" x14ac:dyDescent="0.3">
      <c r="A3" s="18" t="s">
        <v>129</v>
      </c>
      <c r="B3" t="s">
        <v>132</v>
      </c>
    </row>
    <row r="4" spans="1:2" x14ac:dyDescent="0.3">
      <c r="A4" s="19" t="s">
        <v>11</v>
      </c>
      <c r="B4" s="16">
        <v>246805</v>
      </c>
    </row>
    <row r="5" spans="1:2" x14ac:dyDescent="0.3">
      <c r="A5" s="20" t="s">
        <v>123</v>
      </c>
      <c r="B5" s="16">
        <v>246805</v>
      </c>
    </row>
    <row r="6" spans="1:2" x14ac:dyDescent="0.3">
      <c r="A6" s="19" t="s">
        <v>17</v>
      </c>
      <c r="B6" s="16">
        <v>183121</v>
      </c>
    </row>
    <row r="7" spans="1:2" x14ac:dyDescent="0.3">
      <c r="A7" s="20" t="s">
        <v>122</v>
      </c>
      <c r="B7" s="16">
        <v>183121</v>
      </c>
    </row>
    <row r="8" spans="1:2" x14ac:dyDescent="0.3">
      <c r="A8" s="19" t="s">
        <v>19</v>
      </c>
      <c r="B8" s="16">
        <v>176071</v>
      </c>
    </row>
    <row r="9" spans="1:2" x14ac:dyDescent="0.3">
      <c r="A9" s="20" t="s">
        <v>120</v>
      </c>
      <c r="B9" s="16">
        <v>176071</v>
      </c>
    </row>
    <row r="10" spans="1:2" x14ac:dyDescent="0.3">
      <c r="A10" s="19" t="s">
        <v>20</v>
      </c>
      <c r="B10" s="16">
        <v>234423</v>
      </c>
    </row>
    <row r="11" spans="1:2" x14ac:dyDescent="0.3">
      <c r="A11" s="20" t="s">
        <v>120</v>
      </c>
      <c r="B11" s="16">
        <v>234423</v>
      </c>
    </row>
    <row r="12" spans="1:2" x14ac:dyDescent="0.3">
      <c r="A12" s="19" t="s">
        <v>23</v>
      </c>
      <c r="B12" s="16">
        <v>280594</v>
      </c>
    </row>
    <row r="13" spans="1:2" x14ac:dyDescent="0.3">
      <c r="A13" s="20" t="s">
        <v>124</v>
      </c>
      <c r="B13" s="16">
        <v>280594</v>
      </c>
    </row>
    <row r="14" spans="1:2" x14ac:dyDescent="0.3">
      <c r="A14" s="19" t="s">
        <v>26</v>
      </c>
      <c r="B14" s="16">
        <v>157455</v>
      </c>
    </row>
    <row r="15" spans="1:2" x14ac:dyDescent="0.3">
      <c r="A15" s="20" t="s">
        <v>124</v>
      </c>
      <c r="B15" s="16">
        <v>157455</v>
      </c>
    </row>
    <row r="16" spans="1:2" x14ac:dyDescent="0.3">
      <c r="A16" s="19" t="s">
        <v>27</v>
      </c>
      <c r="B16" s="16">
        <v>159616</v>
      </c>
    </row>
    <row r="17" spans="1:2" x14ac:dyDescent="0.3">
      <c r="A17" s="20" t="s">
        <v>119</v>
      </c>
      <c r="B17" s="16">
        <v>159616</v>
      </c>
    </row>
    <row r="18" spans="1:2" x14ac:dyDescent="0.3">
      <c r="A18" s="19" t="s">
        <v>40</v>
      </c>
      <c r="B18" s="16">
        <v>268214</v>
      </c>
    </row>
    <row r="19" spans="1:2" x14ac:dyDescent="0.3">
      <c r="A19" s="20" t="s">
        <v>121</v>
      </c>
      <c r="B19" s="16">
        <v>268214</v>
      </c>
    </row>
    <row r="20" spans="1:2" x14ac:dyDescent="0.3">
      <c r="A20" s="19" t="s">
        <v>130</v>
      </c>
      <c r="B20" s="16">
        <v>1706299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77FB-AA9B-4E30-B205-87EF808B8005}">
  <dimension ref="A3:B20"/>
  <sheetViews>
    <sheetView workbookViewId="0">
      <selection activeCell="L16" sqref="L16"/>
    </sheetView>
  </sheetViews>
  <sheetFormatPr defaultRowHeight="14.4" x14ac:dyDescent="0.3"/>
  <cols>
    <col min="1" max="1" width="15.44140625" bestFit="1" customWidth="1"/>
    <col min="2" max="2" width="18.21875" bestFit="1" customWidth="1"/>
  </cols>
  <sheetData>
    <row r="3" spans="1:2" x14ac:dyDescent="0.3">
      <c r="A3" s="18" t="s">
        <v>129</v>
      </c>
      <c r="B3" t="s">
        <v>132</v>
      </c>
    </row>
    <row r="4" spans="1:2" x14ac:dyDescent="0.3">
      <c r="A4" s="19" t="s">
        <v>10</v>
      </c>
      <c r="B4" s="16">
        <v>159751</v>
      </c>
    </row>
    <row r="5" spans="1:2" x14ac:dyDescent="0.3">
      <c r="A5" s="20" t="s">
        <v>119</v>
      </c>
      <c r="B5" s="16">
        <v>159751</v>
      </c>
    </row>
    <row r="6" spans="1:2" x14ac:dyDescent="0.3">
      <c r="A6" s="19" t="s">
        <v>14</v>
      </c>
      <c r="B6" s="16">
        <v>189752</v>
      </c>
    </row>
    <row r="7" spans="1:2" x14ac:dyDescent="0.3">
      <c r="A7" s="20" t="s">
        <v>118</v>
      </c>
      <c r="B7" s="16">
        <v>189752</v>
      </c>
    </row>
    <row r="8" spans="1:2" x14ac:dyDescent="0.3">
      <c r="A8" s="19" t="s">
        <v>32</v>
      </c>
      <c r="B8" s="16">
        <v>68070</v>
      </c>
    </row>
    <row r="9" spans="1:2" x14ac:dyDescent="0.3">
      <c r="A9" s="20" t="s">
        <v>120</v>
      </c>
      <c r="B9" s="16">
        <v>68070</v>
      </c>
    </row>
    <row r="10" spans="1:2" x14ac:dyDescent="0.3">
      <c r="A10" s="19" t="s">
        <v>34</v>
      </c>
      <c r="B10" s="16">
        <v>285362</v>
      </c>
    </row>
    <row r="11" spans="1:2" x14ac:dyDescent="0.3">
      <c r="A11" s="20" t="s">
        <v>123</v>
      </c>
      <c r="B11" s="16">
        <v>285362</v>
      </c>
    </row>
    <row r="12" spans="1:2" x14ac:dyDescent="0.3">
      <c r="A12" s="19" t="s">
        <v>35</v>
      </c>
      <c r="B12" s="16">
        <v>160627</v>
      </c>
    </row>
    <row r="13" spans="1:2" x14ac:dyDescent="0.3">
      <c r="A13" s="20" t="s">
        <v>122</v>
      </c>
      <c r="B13" s="16">
        <v>160627</v>
      </c>
    </row>
    <row r="14" spans="1:2" x14ac:dyDescent="0.3">
      <c r="A14" s="19" t="s">
        <v>37</v>
      </c>
      <c r="B14" s="16">
        <v>280229</v>
      </c>
    </row>
    <row r="15" spans="1:2" x14ac:dyDescent="0.3">
      <c r="A15" s="20" t="s">
        <v>124</v>
      </c>
      <c r="B15" s="16">
        <v>280229</v>
      </c>
    </row>
    <row r="16" spans="1:2" x14ac:dyDescent="0.3">
      <c r="A16" s="19" t="s">
        <v>41</v>
      </c>
      <c r="B16" s="16">
        <v>220806</v>
      </c>
    </row>
    <row r="17" spans="1:2" x14ac:dyDescent="0.3">
      <c r="A17" s="20" t="s">
        <v>119</v>
      </c>
      <c r="B17" s="16">
        <v>220806</v>
      </c>
    </row>
    <row r="18" spans="1:2" x14ac:dyDescent="0.3">
      <c r="A18" s="19" t="s">
        <v>43</v>
      </c>
      <c r="B18" s="16">
        <v>140852</v>
      </c>
    </row>
    <row r="19" spans="1:2" x14ac:dyDescent="0.3">
      <c r="A19" s="20" t="s">
        <v>123</v>
      </c>
      <c r="B19" s="16">
        <v>140852</v>
      </c>
    </row>
    <row r="20" spans="1:2" x14ac:dyDescent="0.3">
      <c r="A20" s="19" t="s">
        <v>130</v>
      </c>
      <c r="B20" s="16">
        <v>1505449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CA7A-4088-4FC7-8513-E1B06E3A69CD}">
  <dimension ref="A3:B16"/>
  <sheetViews>
    <sheetView workbookViewId="0">
      <selection activeCell="M16" sqref="M16"/>
    </sheetView>
  </sheetViews>
  <sheetFormatPr defaultRowHeight="14.4" x14ac:dyDescent="0.3"/>
  <cols>
    <col min="1" max="1" width="13" bestFit="1" customWidth="1"/>
    <col min="2" max="2" width="18.21875" bestFit="1" customWidth="1"/>
  </cols>
  <sheetData>
    <row r="3" spans="1:2" x14ac:dyDescent="0.3">
      <c r="A3" s="18" t="s">
        <v>129</v>
      </c>
      <c r="B3" t="s">
        <v>132</v>
      </c>
    </row>
    <row r="4" spans="1:2" x14ac:dyDescent="0.3">
      <c r="A4" s="19" t="s">
        <v>13</v>
      </c>
      <c r="B4" s="16">
        <v>253154</v>
      </c>
    </row>
    <row r="5" spans="1:2" x14ac:dyDescent="0.3">
      <c r="A5" s="20" t="s">
        <v>118</v>
      </c>
      <c r="B5" s="16">
        <v>253154</v>
      </c>
    </row>
    <row r="6" spans="1:2" x14ac:dyDescent="0.3">
      <c r="A6" s="19" t="s">
        <v>18</v>
      </c>
      <c r="B6" s="16">
        <v>224088</v>
      </c>
    </row>
    <row r="7" spans="1:2" x14ac:dyDescent="0.3">
      <c r="A7" s="20" t="s">
        <v>124</v>
      </c>
      <c r="B7" s="16">
        <v>224088</v>
      </c>
    </row>
    <row r="8" spans="1:2" x14ac:dyDescent="0.3">
      <c r="A8" s="19" t="s">
        <v>21</v>
      </c>
      <c r="B8" s="16">
        <v>293548</v>
      </c>
    </row>
    <row r="9" spans="1:2" x14ac:dyDescent="0.3">
      <c r="A9" s="20" t="s">
        <v>122</v>
      </c>
      <c r="B9" s="16">
        <v>293548</v>
      </c>
    </row>
    <row r="10" spans="1:2" x14ac:dyDescent="0.3">
      <c r="A10" s="19" t="s">
        <v>22</v>
      </c>
      <c r="B10" s="16">
        <v>162296</v>
      </c>
    </row>
    <row r="11" spans="1:2" x14ac:dyDescent="0.3">
      <c r="A11" s="20" t="s">
        <v>121</v>
      </c>
      <c r="B11" s="16">
        <v>162296</v>
      </c>
    </row>
    <row r="12" spans="1:2" x14ac:dyDescent="0.3">
      <c r="A12" s="19" t="s">
        <v>24</v>
      </c>
      <c r="B12" s="16">
        <v>69830</v>
      </c>
    </row>
    <row r="13" spans="1:2" x14ac:dyDescent="0.3">
      <c r="A13" s="20" t="s">
        <v>120</v>
      </c>
      <c r="B13" s="16">
        <v>69830</v>
      </c>
    </row>
    <row r="14" spans="1:2" x14ac:dyDescent="0.3">
      <c r="A14" s="19" t="s">
        <v>25</v>
      </c>
      <c r="B14" s="16">
        <v>186967</v>
      </c>
    </row>
    <row r="15" spans="1:2" x14ac:dyDescent="0.3">
      <c r="A15" s="20" t="s">
        <v>120</v>
      </c>
      <c r="B15" s="16">
        <v>186967</v>
      </c>
    </row>
    <row r="16" spans="1:2" x14ac:dyDescent="0.3">
      <c r="A16" s="19" t="s">
        <v>130</v>
      </c>
      <c r="B16" s="16">
        <v>1189883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4E74-31A0-45AD-8575-B29F82391466}">
  <dimension ref="A3:B14"/>
  <sheetViews>
    <sheetView workbookViewId="0">
      <selection activeCell="E1" sqref="E1"/>
    </sheetView>
  </sheetViews>
  <sheetFormatPr defaultRowHeight="14.4" x14ac:dyDescent="0.3"/>
  <cols>
    <col min="1" max="1" width="15.44140625" bestFit="1" customWidth="1"/>
    <col min="2" max="2" width="18.21875" bestFit="1" customWidth="1"/>
  </cols>
  <sheetData>
    <row r="3" spans="1:2" x14ac:dyDescent="0.3">
      <c r="A3" s="18" t="s">
        <v>129</v>
      </c>
      <c r="B3" t="s">
        <v>132</v>
      </c>
    </row>
    <row r="4" spans="1:2" x14ac:dyDescent="0.3">
      <c r="A4" s="19" t="s">
        <v>12</v>
      </c>
      <c r="B4" s="16">
        <v>136202</v>
      </c>
    </row>
    <row r="5" spans="1:2" x14ac:dyDescent="0.3">
      <c r="A5" s="20" t="s">
        <v>118</v>
      </c>
      <c r="B5" s="16">
        <v>136202</v>
      </c>
    </row>
    <row r="6" spans="1:2" x14ac:dyDescent="0.3">
      <c r="A6" s="19" t="s">
        <v>15</v>
      </c>
      <c r="B6" s="16">
        <v>58155</v>
      </c>
    </row>
    <row r="7" spans="1:2" x14ac:dyDescent="0.3">
      <c r="A7" s="20" t="s">
        <v>119</v>
      </c>
      <c r="B7" s="16">
        <v>58155</v>
      </c>
    </row>
    <row r="8" spans="1:2" x14ac:dyDescent="0.3">
      <c r="A8" s="19" t="s">
        <v>29</v>
      </c>
      <c r="B8" s="16">
        <v>226308</v>
      </c>
    </row>
    <row r="9" spans="1:2" x14ac:dyDescent="0.3">
      <c r="A9" s="20" t="s">
        <v>120</v>
      </c>
      <c r="B9" s="16">
        <v>226308</v>
      </c>
    </row>
    <row r="10" spans="1:2" x14ac:dyDescent="0.3">
      <c r="A10" s="19" t="s">
        <v>31</v>
      </c>
      <c r="B10" s="16">
        <v>204165</v>
      </c>
    </row>
    <row r="11" spans="1:2" x14ac:dyDescent="0.3">
      <c r="A11" s="20" t="s">
        <v>123</v>
      </c>
      <c r="B11" s="16">
        <v>204165</v>
      </c>
    </row>
    <row r="12" spans="1:2" x14ac:dyDescent="0.3">
      <c r="A12" s="19" t="s">
        <v>33</v>
      </c>
      <c r="B12" s="16">
        <v>155864</v>
      </c>
    </row>
    <row r="13" spans="1:2" x14ac:dyDescent="0.3">
      <c r="A13" s="20" t="s">
        <v>122</v>
      </c>
      <c r="B13" s="16">
        <v>155864</v>
      </c>
    </row>
    <row r="14" spans="1:2" x14ac:dyDescent="0.3">
      <c r="A14" s="19" t="s">
        <v>130</v>
      </c>
      <c r="B14" s="16">
        <v>780694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819D-A73F-45B3-9FE5-131D10D292F4}">
  <dimension ref="G2:AQ6"/>
  <sheetViews>
    <sheetView zoomScale="42" zoomScaleNormal="42" workbookViewId="0">
      <selection activeCell="AT35" sqref="AT35"/>
    </sheetView>
  </sheetViews>
  <sheetFormatPr defaultRowHeight="14.4" x14ac:dyDescent="0.3"/>
  <cols>
    <col min="1" max="16384" width="8.88671875" style="23"/>
  </cols>
  <sheetData>
    <row r="2" spans="7:43" x14ac:dyDescent="0.3">
      <c r="G2" s="27" t="s">
        <v>135</v>
      </c>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row>
    <row r="3" spans="7:43" ht="14.4" customHeight="1" x14ac:dyDescent="0.3">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row>
    <row r="4" spans="7:43" x14ac:dyDescent="0.3">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row>
    <row r="5" spans="7:43" x14ac:dyDescent="0.3">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row>
    <row r="6" spans="7:43" x14ac:dyDescent="0.3">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row>
  </sheetData>
  <mergeCells count="1">
    <mergeCell ref="G2:A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FCC62-18D1-42B5-A82B-ADF844F2B673}">
  <dimension ref="J3:AI5"/>
  <sheetViews>
    <sheetView showGridLines="0" zoomScale="49" zoomScaleNormal="49" workbookViewId="0">
      <selection activeCell="V54" sqref="V54"/>
    </sheetView>
  </sheetViews>
  <sheetFormatPr defaultRowHeight="14.4" x14ac:dyDescent="0.3"/>
  <cols>
    <col min="1" max="16384" width="8.88671875" style="22"/>
  </cols>
  <sheetData>
    <row r="3" spans="10:35" x14ac:dyDescent="0.3">
      <c r="J3" s="29" t="s">
        <v>134</v>
      </c>
      <c r="K3" s="30"/>
      <c r="L3" s="30"/>
      <c r="M3" s="30"/>
      <c r="N3" s="30"/>
      <c r="O3" s="30"/>
      <c r="P3" s="30"/>
      <c r="Q3" s="30"/>
      <c r="R3" s="30"/>
      <c r="S3" s="30"/>
      <c r="T3" s="30"/>
      <c r="U3" s="30"/>
      <c r="V3" s="30"/>
      <c r="W3" s="30"/>
      <c r="X3" s="30"/>
      <c r="Y3" s="30"/>
      <c r="Z3" s="30"/>
      <c r="AA3" s="30"/>
      <c r="AB3" s="30"/>
      <c r="AC3" s="30"/>
      <c r="AD3" s="30"/>
      <c r="AE3" s="30"/>
      <c r="AF3" s="30"/>
      <c r="AG3" s="30"/>
      <c r="AH3" s="30"/>
      <c r="AI3" s="30"/>
    </row>
    <row r="4" spans="10:35" x14ac:dyDescent="0.3">
      <c r="J4" s="30"/>
      <c r="K4" s="30"/>
      <c r="L4" s="30"/>
      <c r="M4" s="30"/>
      <c r="N4" s="30"/>
      <c r="O4" s="30"/>
      <c r="P4" s="30"/>
      <c r="Q4" s="30"/>
      <c r="R4" s="30"/>
      <c r="S4" s="30"/>
      <c r="T4" s="30"/>
      <c r="U4" s="30"/>
      <c r="V4" s="30"/>
      <c r="W4" s="30"/>
      <c r="X4" s="30"/>
      <c r="Y4" s="30"/>
      <c r="Z4" s="30"/>
      <c r="AA4" s="30"/>
      <c r="AB4" s="30"/>
      <c r="AC4" s="30"/>
      <c r="AD4" s="30"/>
      <c r="AE4" s="30"/>
      <c r="AF4" s="30"/>
      <c r="AG4" s="30"/>
      <c r="AH4" s="30"/>
      <c r="AI4" s="30"/>
    </row>
    <row r="5" spans="10:35" x14ac:dyDescent="0.3">
      <c r="J5" s="30"/>
      <c r="K5" s="30"/>
      <c r="L5" s="30"/>
      <c r="M5" s="30"/>
      <c r="N5" s="30"/>
      <c r="O5" s="30"/>
      <c r="P5" s="30"/>
      <c r="Q5" s="30"/>
      <c r="R5" s="30"/>
      <c r="S5" s="30"/>
      <c r="T5" s="30"/>
      <c r="U5" s="30"/>
      <c r="V5" s="30"/>
      <c r="W5" s="30"/>
      <c r="X5" s="30"/>
      <c r="Y5" s="30"/>
      <c r="Z5" s="30"/>
      <c r="AA5" s="30"/>
      <c r="AB5" s="30"/>
      <c r="AC5" s="30"/>
      <c r="AD5" s="30"/>
      <c r="AE5" s="30"/>
      <c r="AF5" s="30"/>
      <c r="AG5" s="30"/>
      <c r="AH5" s="30"/>
      <c r="AI5" s="30"/>
    </row>
  </sheetData>
  <mergeCells count="1">
    <mergeCell ref="J3:A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3B97-8EA3-4A8A-8D7C-730AD7B44228}">
  <dimension ref="A1:K47"/>
  <sheetViews>
    <sheetView workbookViewId="0">
      <selection activeCell="H47" sqref="H47:K47"/>
    </sheetView>
  </sheetViews>
  <sheetFormatPr defaultRowHeight="14.4" x14ac:dyDescent="0.3"/>
  <cols>
    <col min="2" max="2" width="25.5546875" customWidth="1"/>
    <col min="3" max="3" width="32.77734375" customWidth="1"/>
    <col min="4" max="4" width="44.21875" customWidth="1"/>
    <col min="5" max="5" width="41.88671875" customWidth="1"/>
    <col min="6" max="6" width="28.5546875" customWidth="1"/>
  </cols>
  <sheetData>
    <row r="1" spans="1:6" x14ac:dyDescent="0.3">
      <c r="A1" s="31" t="s">
        <v>136</v>
      </c>
      <c r="B1" s="32"/>
      <c r="C1" s="32"/>
      <c r="D1" s="32"/>
      <c r="E1" s="32"/>
    </row>
    <row r="2" spans="1:6" x14ac:dyDescent="0.3">
      <c r="A2" s="32"/>
      <c r="B2" s="32"/>
      <c r="C2" s="32"/>
      <c r="D2" s="32"/>
      <c r="E2" s="32"/>
    </row>
    <row r="4" spans="1:6" x14ac:dyDescent="0.3">
      <c r="B4" s="24" t="s">
        <v>137</v>
      </c>
      <c r="C4" s="24" t="s">
        <v>140</v>
      </c>
      <c r="D4" s="24" t="s">
        <v>141</v>
      </c>
      <c r="E4" s="24" t="s">
        <v>142</v>
      </c>
      <c r="F4" s="24" t="s">
        <v>167</v>
      </c>
    </row>
    <row r="6" spans="1:6" ht="72" x14ac:dyDescent="0.3">
      <c r="A6" t="s">
        <v>143</v>
      </c>
      <c r="B6" t="s">
        <v>138</v>
      </c>
      <c r="C6" s="25" t="s">
        <v>139</v>
      </c>
      <c r="D6" s="25" t="s">
        <v>145</v>
      </c>
      <c r="E6" s="25" t="s">
        <v>146</v>
      </c>
      <c r="F6" s="25" t="s">
        <v>168</v>
      </c>
    </row>
    <row r="7" spans="1:6" ht="86.4" x14ac:dyDescent="0.3">
      <c r="A7" t="s">
        <v>144</v>
      </c>
      <c r="B7" t="s">
        <v>138</v>
      </c>
      <c r="C7" s="25" t="s">
        <v>147</v>
      </c>
      <c r="D7" s="25" t="s">
        <v>148</v>
      </c>
      <c r="E7" s="25" t="s">
        <v>149</v>
      </c>
      <c r="F7" s="25" t="s">
        <v>169</v>
      </c>
    </row>
    <row r="8" spans="1:6" ht="57.6" x14ac:dyDescent="0.3">
      <c r="A8" t="s">
        <v>151</v>
      </c>
      <c r="B8" t="s">
        <v>138</v>
      </c>
      <c r="C8" s="25" t="s">
        <v>150</v>
      </c>
      <c r="D8" s="25" t="s">
        <v>152</v>
      </c>
      <c r="E8" s="25" t="s">
        <v>153</v>
      </c>
      <c r="F8" s="25" t="s">
        <v>174</v>
      </c>
    </row>
    <row r="9" spans="1:6" ht="57.6" x14ac:dyDescent="0.3">
      <c r="A9" t="s">
        <v>175</v>
      </c>
      <c r="B9" t="s">
        <v>138</v>
      </c>
      <c r="C9" s="25" t="s">
        <v>154</v>
      </c>
      <c r="D9" s="25" t="s">
        <v>155</v>
      </c>
      <c r="E9" s="25" t="s">
        <v>156</v>
      </c>
    </row>
    <row r="15" spans="1:6" x14ac:dyDescent="0.3">
      <c r="A15" s="34" t="s">
        <v>176</v>
      </c>
      <c r="B15" s="32"/>
      <c r="C15" s="32"/>
      <c r="D15" s="32"/>
    </row>
    <row r="16" spans="1:6" x14ac:dyDescent="0.3">
      <c r="A16" s="32"/>
      <c r="B16" s="32"/>
      <c r="C16" s="32"/>
      <c r="D16" s="32"/>
    </row>
    <row r="18" spans="1:4" ht="18" x14ac:dyDescent="0.35">
      <c r="A18" s="35" t="s">
        <v>177</v>
      </c>
      <c r="B18" s="35"/>
      <c r="C18" s="35"/>
      <c r="D18" s="35"/>
    </row>
    <row r="20" spans="1:4" x14ac:dyDescent="0.3">
      <c r="A20" s="36" t="s">
        <v>178</v>
      </c>
      <c r="B20" s="36"/>
      <c r="C20" s="36"/>
      <c r="D20" s="36"/>
    </row>
    <row r="22" spans="1:4" x14ac:dyDescent="0.3">
      <c r="A22" s="36" t="s">
        <v>179</v>
      </c>
      <c r="B22" s="36"/>
      <c r="C22" s="36"/>
      <c r="D22" s="36"/>
    </row>
    <row r="24" spans="1:4" x14ac:dyDescent="0.3">
      <c r="A24" s="36" t="s">
        <v>180</v>
      </c>
      <c r="B24" s="36"/>
      <c r="C24" s="36"/>
      <c r="D24" s="36"/>
    </row>
    <row r="26" spans="1:4" x14ac:dyDescent="0.3">
      <c r="A26" s="36" t="s">
        <v>181</v>
      </c>
      <c r="B26" s="36"/>
      <c r="C26" s="36"/>
      <c r="D26" s="36"/>
    </row>
    <row r="47" spans="11:11" ht="409.6" x14ac:dyDescent="0.3">
      <c r="K47" s="25" t="s">
        <v>170</v>
      </c>
    </row>
  </sheetData>
  <mergeCells count="7">
    <mergeCell ref="A24:D24"/>
    <mergeCell ref="A26:D26"/>
    <mergeCell ref="A1:E2"/>
    <mergeCell ref="A15:D16"/>
    <mergeCell ref="A18:D18"/>
    <mergeCell ref="A20:D20"/>
    <mergeCell ref="A22:D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8E34-88D4-4907-A013-3986BBCA2E99}">
  <dimension ref="A2:I23"/>
  <sheetViews>
    <sheetView topLeftCell="A6" workbookViewId="0">
      <selection activeCell="A12" sqref="A12:D21"/>
    </sheetView>
  </sheetViews>
  <sheetFormatPr defaultRowHeight="14.4" x14ac:dyDescent="0.3"/>
  <cols>
    <col min="1" max="1" width="19.6640625" customWidth="1"/>
    <col min="2" max="2" width="24.6640625" customWidth="1"/>
    <col min="3" max="3" width="39" customWidth="1"/>
    <col min="4" max="4" width="38.77734375" customWidth="1"/>
  </cols>
  <sheetData>
    <row r="2" spans="1:9" ht="40.200000000000003" customHeight="1" x14ac:dyDescent="0.5">
      <c r="A2" s="33" t="s">
        <v>173</v>
      </c>
      <c r="B2" s="32"/>
      <c r="C2" s="32"/>
      <c r="D2" s="32"/>
      <c r="E2" s="32"/>
      <c r="F2" s="32"/>
      <c r="G2" s="32"/>
      <c r="H2" s="32"/>
      <c r="I2" s="32"/>
    </row>
    <row r="3" spans="1:9" ht="25.2" customHeight="1" x14ac:dyDescent="0.3">
      <c r="A3" s="24" t="s">
        <v>137</v>
      </c>
      <c r="B3" s="24" t="s">
        <v>140</v>
      </c>
      <c r="C3" s="24" t="s">
        <v>141</v>
      </c>
      <c r="D3" s="24" t="s">
        <v>142</v>
      </c>
    </row>
    <row r="4" spans="1:9" ht="28.2" customHeight="1" x14ac:dyDescent="0.3"/>
    <row r="5" spans="1:9" ht="163.80000000000001" customHeight="1" x14ac:dyDescent="0.3">
      <c r="A5" t="s">
        <v>157</v>
      </c>
      <c r="B5" s="25" t="s">
        <v>158</v>
      </c>
      <c r="C5" s="25" t="s">
        <v>159</v>
      </c>
      <c r="D5" s="25" t="s">
        <v>160</v>
      </c>
    </row>
    <row r="6" spans="1:9" ht="86.4" x14ac:dyDescent="0.3">
      <c r="A6" t="s">
        <v>157</v>
      </c>
      <c r="B6" s="25" t="s">
        <v>162</v>
      </c>
      <c r="C6" s="25" t="s">
        <v>161</v>
      </c>
      <c r="D6" s="25" t="s">
        <v>163</v>
      </c>
    </row>
    <row r="7" spans="1:9" ht="115.2" x14ac:dyDescent="0.3">
      <c r="A7" t="s">
        <v>157</v>
      </c>
      <c r="B7" s="25" t="s">
        <v>164</v>
      </c>
      <c r="C7" s="25" t="s">
        <v>165</v>
      </c>
      <c r="D7" s="25" t="s">
        <v>166</v>
      </c>
    </row>
    <row r="23" spans="1:4" x14ac:dyDescent="0.3">
      <c r="A23" s="32"/>
      <c r="B23" s="32"/>
      <c r="C23" s="32"/>
      <c r="D23" s="32"/>
    </row>
  </sheetData>
  <mergeCells count="2">
    <mergeCell ref="A23:D23"/>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Chitale Bandhu Mithaiwale</vt:lpstr>
      <vt:lpstr>DIGITAL ADDS</vt:lpstr>
      <vt:lpstr>INFLUENCER Pivot</vt:lpstr>
      <vt:lpstr>EVENT CAMPING </vt:lpstr>
      <vt:lpstr>PRINT PIVOT</vt:lpstr>
      <vt:lpstr>RADIO Pivot</vt:lpstr>
      <vt:lpstr>SOCIAL MEDIA</vt:lpstr>
      <vt:lpstr>TV</vt:lpstr>
      <vt:lpstr>Haldiram </vt:lpstr>
      <vt:lpstr>H DIGITAL ADDS</vt:lpstr>
      <vt:lpstr>H EVENT</vt:lpstr>
      <vt:lpstr>H INFLUENCER</vt:lpstr>
      <vt:lpstr>H PRINT</vt:lpstr>
      <vt:lpstr>H RADIO</vt:lpstr>
      <vt:lpstr>H SOCIAL MEDIA</vt:lpstr>
      <vt:lpstr>H TV</vt:lpstr>
      <vt:lpstr>Haldiram Dashboard</vt:lpstr>
      <vt:lpstr>Chitale Dashboard</vt:lpstr>
      <vt:lpstr>Marketing strategy</vt:lpstr>
      <vt:lpstr>H Strategy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Shweta Shewale</cp:lastModifiedBy>
  <dcterms:created xsi:type="dcterms:W3CDTF">2025-10-07T05:08:22Z</dcterms:created>
  <dcterms:modified xsi:type="dcterms:W3CDTF">2025-10-08T06:35:04Z</dcterms:modified>
</cp:coreProperties>
</file>